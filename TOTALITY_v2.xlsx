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📊 Dashboard" sheetId="1" state="visible" r:id="rId3"/>
    <sheet name="📅 May 2026" sheetId="2" state="visible" r:id="rId4"/>
    <sheet name="🎯 Savings Goals" sheetId="3" state="visible" r:id="rId5"/>
    <sheet name="🏦 Bank Accounts" sheetId="4" state="visible" r:id="rId6"/>
    <sheet name="📈 Annual 2026" sheetId="5" state="visible" r:id="rId7"/>
    <sheet name="⚙️ Setup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<sst xmlns="http://schemas.openxmlformats.org/spreadsheetml/2006/main" count="250" uniqueCount="165">
  <si>
    <t xml:space="preserve">💰  PERSONAL FINANCE DASHBOARD — MAY 2026</t>
  </si>
  <si>
    <t xml:space="preserve">💰 TOTAL INCOME</t>
  </si>
  <si>
    <t xml:space="preserve">💸 TOTAL SPENT</t>
  </si>
  <si>
    <t xml:space="preserve">📊 NET SAVINGS</t>
  </si>
  <si>
    <t xml:space="preserve">📈 SAVINGS RATE</t>
  </si>
  <si>
    <t xml:space="preserve">🏦 TOTAL IN BANK</t>
  </si>
  <si>
    <t xml:space="preserve">🎯 GOALS FUNDED</t>
  </si>
  <si>
    <t xml:space="preserve">🚀 MONTHLY BUDGET</t>
  </si>
  <si>
    <t xml:space="preserve">📋 TRANSACTIONS</t>
  </si>
  <si>
    <t xml:space="preserve">🏦 BANK ACCOUNTS</t>
  </si>
  <si>
    <t xml:space="preserve">Account</t>
  </si>
  <si>
    <t xml:space="preserve">Bank</t>
  </si>
  <si>
    <t xml:space="preserve">Purpose</t>
  </si>
  <si>
    <t xml:space="preserve">Balance (Rs.)</t>
  </si>
  <si>
    <t xml:space="preserve">Type</t>
  </si>
  <si>
    <t xml:space="preserve">Daily Ops</t>
  </si>
  <si>
    <t xml:space="preserve">HBL / Meezan</t>
  </si>
  <si>
    <t xml:space="preserve">Day-to-day spending, food, petrol</t>
  </si>
  <si>
    <t xml:space="preserve">Current</t>
  </si>
  <si>
    <t xml:space="preserve">Savings Fund</t>
  </si>
  <si>
    <t xml:space="preserve">Meezan Bank</t>
  </si>
  <si>
    <t xml:space="preserve">Monthly surplus — automatic transfer</t>
  </si>
  <si>
    <t xml:space="preserve">Savings</t>
  </si>
  <si>
    <t xml:space="preserve">Goals Vault</t>
  </si>
  <si>
    <t xml:space="preserve">Locked savings for specific purchase goals</t>
  </si>
  <si>
    <t xml:space="preserve">Digital Savings</t>
  </si>
  <si>
    <t xml:space="preserve">Emergency Buffer</t>
  </si>
  <si>
    <t xml:space="preserve">Any Bank</t>
  </si>
  <si>
    <t xml:space="preserve">3-month buffer — do not touch except emergencies</t>
  </si>
  <si>
    <t xml:space="preserve">TOTAL CASH</t>
  </si>
  <si>
    <t xml:space="preserve">🎯 SAVINGS GOALS</t>
  </si>
  <si>
    <t xml:space="preserve">Goal</t>
  </si>
  <si>
    <t xml:space="preserve">Target</t>
  </si>
  <si>
    <t xml:space="preserve">Saved</t>
  </si>
  <si>
    <t xml:space="preserve">% Done</t>
  </si>
  <si>
    <t xml:space="preserve">Target Date</t>
  </si>
  <si>
    <t xml:space="preserve">Status</t>
  </si>
  <si>
    <t xml:space="preserve">Asus Laptop</t>
  </si>
  <si>
    <t xml:space="preserve">Guitar</t>
  </si>
  <si>
    <t xml:space="preserve">Apple Keyboard</t>
  </si>
  <si>
    <t xml:space="preserve">Shehroz Laptop</t>
  </si>
  <si>
    <t xml:space="preserve">Soundbar / Speakers</t>
  </si>
  <si>
    <t xml:space="preserve">iPhone</t>
  </si>
  <si>
    <t xml:space="preserve">📅  MAY 2026 — MONTHLY BUDGET TRACKER</t>
  </si>
  <si>
    <t xml:space="preserve">BUDGET PLAN</t>
  </si>
  <si>
    <t xml:space="preserve">TRANSACTION LOG</t>
  </si>
  <si>
    <t xml:space="preserve">#</t>
  </si>
  <si>
    <t xml:space="preserve">Category</t>
  </si>
  <si>
    <t xml:space="preserve">Monthly Budget</t>
  </si>
  <si>
    <t xml:space="preserve">Spent</t>
  </si>
  <si>
    <t xml:space="preserve">Remaining</t>
  </si>
  <si>
    <t xml:space="preserve">% Used</t>
  </si>
  <si>
    <t xml:space="preserve">Date</t>
  </si>
  <si>
    <t xml:space="preserve">Description</t>
  </si>
  <si>
    <t xml:space="preserve">Amount (Rs.)</t>
  </si>
  <si>
    <t xml:space="preserve">Car Maintenance</t>
  </si>
  <si>
    <t xml:space="preserve">Grocery</t>
  </si>
  <si>
    <t xml:space="preserve">Petrol</t>
  </si>
  <si>
    <t xml:space="preserve">Daily</t>
  </si>
  <si>
    <t xml:space="preserve">Order Out</t>
  </si>
  <si>
    <t xml:space="preserve">Clothes</t>
  </si>
  <si>
    <t xml:space="preserve">Items</t>
  </si>
  <si>
    <t xml:space="preserve">Mobile</t>
  </si>
  <si>
    <t xml:space="preserve">Events / Activities</t>
  </si>
  <si>
    <t xml:space="preserve">Daily Lunch</t>
  </si>
  <si>
    <t xml:space="preserve">Optical Expense</t>
  </si>
  <si>
    <t xml:space="preserve">Miscellaneous</t>
  </si>
  <si>
    <t xml:space="preserve">Uber</t>
  </si>
  <si>
    <t xml:space="preserve">Gym</t>
  </si>
  <si>
    <t xml:space="preserve">Charity</t>
  </si>
  <si>
    <t xml:space="preserve">Loan Payment</t>
  </si>
  <si>
    <t xml:space="preserve">TOTAL / MONTH</t>
  </si>
  <si>
    <t xml:space="preserve">INCOME</t>
  </si>
  <si>
    <t xml:space="preserve">MONTHLY SUMMARY</t>
  </si>
  <si>
    <t xml:space="preserve">Source</t>
  </si>
  <si>
    <t xml:space="preserve">Metric</t>
  </si>
  <si>
    <t xml:space="preserve">Amount</t>
  </si>
  <si>
    <t xml:space="preserve">Note</t>
  </si>
  <si>
    <t xml:space="preserve">Coca Cola</t>
  </si>
  <si>
    <t xml:space="preserve">Extra / EP</t>
  </si>
  <si>
    <t xml:space="preserve">Tuition</t>
  </si>
  <si>
    <t xml:space="preserve">Total Income</t>
  </si>
  <si>
    <t xml:space="preserve">💰 Total Income</t>
  </si>
  <si>
    <t xml:space="preserve">💸 Total Spent</t>
  </si>
  <si>
    <t xml:space="preserve">📊 Net (Income−Spent)</t>
  </si>
  <si>
    <t xml:space="preserve">📈 Savings Rate</t>
  </si>
  <si>
    <t xml:space="preserve">🏦 Loan Payments</t>
  </si>
  <si>
    <t xml:space="preserve">🎯 EOM Savings Est.</t>
  </si>
  <si>
    <t xml:space="preserve">TOTAL SPENT</t>
  </si>
  <si>
    <t xml:space="preserve">🎯  SAVINGS GOALS TRACKER</t>
  </si>
  <si>
    <t xml:space="preserve">Monthly Savings Available for Goals (Rs.):</t>
  </si>
  <si>
    <t xml:space="preserve">Goal Name</t>
  </si>
  <si>
    <t xml:space="preserve">Target (Rs.)</t>
  </si>
  <si>
    <t xml:space="preserve">Saved (Rs.)</t>
  </si>
  <si>
    <t xml:space="preserve">Monthly Needed</t>
  </si>
  <si>
    <t xml:space="preserve">Months Left</t>
  </si>
  <si>
    <t xml:space="preserve">Bank Account</t>
  </si>
  <si>
    <t xml:space="preserve">TOTAL</t>
  </si>
  <si>
    <t xml:space="preserve">💡  HOW TO USE THIS SHEET</t>
  </si>
  <si>
    <t xml:space="preserve">• Enter your Target Amount and Saved Amount (blue cells) for each goal.</t>
  </si>
  <si>
    <t xml:space="preserve">• Set a Target Date — the sheet auto-calculates Monthly Needed to hit your goal.</t>
  </si>
  <si>
    <t xml:space="preserve">• Transfer savings into your 'Goals Vault' bank account each month.</t>
  </si>
  <si>
    <t xml:space="preserve">• Update 'Saved Amount' whenever you make a deposit toward a goal.</t>
  </si>
  <si>
    <t xml:space="preserve">• 'Monthly Savings Available' (top) shows what you can distribute across goals this month.</t>
  </si>
  <si>
    <t xml:space="preserve">🏦  BANK ACCOUNTS &amp; CASH MANAGEMENT</t>
  </si>
  <si>
    <t xml:space="preserve">TOTAL CASH ACROSS ALL ACCOUNTS (Rs.):</t>
  </si>
  <si>
    <t xml:space="preserve">ACCOUNT DIRECTORY</t>
  </si>
  <si>
    <t xml:space="preserve">Account Name</t>
  </si>
  <si>
    <t xml:space="preserve">Notes</t>
  </si>
  <si>
    <t xml:space="preserve">Salary comes in here. Use for daily expenses, groceries, petrol, food, Uber.</t>
  </si>
  <si>
    <t xml:space="preserve">Transfer monthly surplus after all expenses. Your main savings buffer.</t>
  </si>
  <si>
    <t xml:space="preserve">Locked for specific goals — laptop, guitar, iPhone etc. Don't mix with daily money.</t>
  </si>
  <si>
    <t xml:space="preserve">Never touch unless true emergency. Target: 3× monthly expenses (≈ Rs. 80,000).</t>
  </si>
  <si>
    <t xml:space="preserve">TOTAL BALANCE</t>
  </si>
  <si>
    <t xml:space="preserve">💡  ACCOUNT STRATEGY — HOW MONEY SHOULD FLOW</t>
  </si>
  <si>
    <t xml:space="preserve">STEP 1 — Salary Arrives</t>
  </si>
  <si>
    <t xml:space="preserve">Entire salary lands in Daily Ops (HBL/Meezan current account).</t>
  </si>
  <si>
    <t xml:space="preserve">STEP 2 — Pay Yourself First</t>
  </si>
  <si>
    <t xml:space="preserve">Immediately transfer your savings target to Savings Fund. Treat this like a bill.</t>
  </si>
  <si>
    <t xml:space="preserve">STEP 3 — Goals Contribution</t>
  </si>
  <si>
    <t xml:space="preserve">Transfer your monthly goals amount to Goals Vault based on 🎯 Savings Goals sheet.</t>
  </si>
  <si>
    <t xml:space="preserve">STEP 4 — Emergency Top-up</t>
  </si>
  <si>
    <t xml:space="preserve">If Emergency Buffer is below 3× monthly expenses, put some there first.</t>
  </si>
  <si>
    <t xml:space="preserve">STEP 5 — Live on What's Left</t>
  </si>
  <si>
    <t xml:space="preserve">Daily Ops is now your spending account for the month. Don't dip into other accounts.</t>
  </si>
  <si>
    <t xml:space="preserve">📈  ANNUAL OVERVIEW — 2026</t>
  </si>
  <si>
    <t xml:space="preserve">Month</t>
  </si>
  <si>
    <t xml:space="preserve">Income (Rs.)</t>
  </si>
  <si>
    <t xml:space="preserve">Expenses (Rs.)</t>
  </si>
  <si>
    <t xml:space="preserve">Savings (Rs.)</t>
  </si>
  <si>
    <t xml:space="preserve">Savings Rate</t>
  </si>
  <si>
    <t xml:space="preserve">Running Total (Rs.)</t>
  </si>
  <si>
    <t xml:space="preserve">January</t>
  </si>
  <si>
    <t xml:space="preserve">February</t>
  </si>
  <si>
    <t xml:space="preserve">March</t>
  </si>
  <si>
    <t xml:space="preserve">April</t>
  </si>
  <si>
    <t xml:space="preserve">May</t>
  </si>
  <si>
    <t xml:space="preserve">June</t>
  </si>
  <si>
    <t xml:space="preserve">July</t>
  </si>
  <si>
    <t xml:space="preserve">August</t>
  </si>
  <si>
    <t xml:space="preserve">September</t>
  </si>
  <si>
    <t xml:space="preserve">October</t>
  </si>
  <si>
    <t xml:space="preserve">November</t>
  </si>
  <si>
    <t xml:space="preserve">December</t>
  </si>
  <si>
    <t xml:space="preserve">FULL YEAR TOTAL</t>
  </si>
  <si>
    <t xml:space="preserve">ANNUAL EXPENSE BREAKDOWN BY CATEGORY</t>
  </si>
  <si>
    <t xml:space="preserve">Annual Budget</t>
  </si>
  <si>
    <t xml:space="preserve">Jan-Apr Actual</t>
  </si>
  <si>
    <t xml:space="preserve">May-Aug Actual</t>
  </si>
  <si>
    <t xml:space="preserve">Sep-Dec Actual</t>
  </si>
  <si>
    <t xml:space="preserve">YTD Total</t>
  </si>
  <si>
    <t xml:space="preserve">⚙️  CATEGORIES &amp; SETUP</t>
  </si>
  <si>
    <t xml:space="preserve">EXPENSE CATEGORIES</t>
  </si>
  <si>
    <t xml:space="preserve">Default Monthly Budget (Rs.)</t>
  </si>
  <si>
    <t xml:space="preserve">INCOME SOURCES</t>
  </si>
  <si>
    <t xml:space="preserve">Source Name</t>
  </si>
  <si>
    <t xml:space="preserve">📝  USAGE NOTES</t>
  </si>
  <si>
    <t xml:space="preserve">🔵 Blue cells = your inputs. Enter data here.</t>
  </si>
  <si>
    <t xml:space="preserve">⚫ Black cells = formulas. Do not edit these.</t>
  </si>
  <si>
    <t xml:space="preserve">📅 May 2026 sheet: Add transactions in the LOG (cols I–M). Budget cols auto-update.</t>
  </si>
  <si>
    <t xml:space="preserve">🎯 Savings Goals: Update 'Saved' amount monthly after transferring money.</t>
  </si>
  <si>
    <t xml:space="preserve">🏦 Bank Accounts: Update balances after each transfer or monthly reconciliation.</t>
  </si>
  <si>
    <t xml:space="preserve">📈 Annual 2026: Enter monthly totals manually at month end for the year view.</t>
  </si>
  <si>
    <t xml:space="preserve">📊 Dashboard: All numbers pull automatically — just keep other sheets updated.</t>
  </si>
  <si>
    <t xml:space="preserve">📋 To add a new month: Duplicate this 'May 2026' tab, rename it, clear transaction data.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</si>
</sst>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;\(#,##0\);\-"/>
    <numFmt numFmtId="166" formatCode="0.0%;\(0.0%\);\-"/>
    <numFmt numFmtId="167" formatCode="0&quot; entries&quot;"/>
    <numFmt numFmtId="168" formatCode="mmm\ yyyy"/>
    <numFmt numFmtId="169" formatCode="0"/>
    <numFmt numFmtId="170" formatCode="dd\-mmm\-yyyy"/>
  </numFmts>
  <fonts count="3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7"/>
      <color rgb="FFFFFFFF"/>
      <name val="Arial"/>
      <family val="0"/>
      <charset val="1"/>
    </font>
    <font>
      <b val="true"/>
      <sz val="10"/>
      <color rgb="FF375623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16"/>
      <color rgb="FF375623"/>
      <name val="Arial"/>
      <family val="0"/>
      <charset val="1"/>
    </font>
    <font>
      <b val="true"/>
      <sz val="16"/>
      <color rgb="FFC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1F4E79"/>
      <name val="Arial"/>
      <family val="0"/>
      <charset val="1"/>
    </font>
    <font>
      <b val="true"/>
      <sz val="10"/>
      <color rgb="FF9E6B00"/>
      <name val="Arial"/>
      <family val="0"/>
      <charset val="1"/>
    </font>
    <font>
      <b val="true"/>
      <sz val="16"/>
      <color rgb="FF1F4E79"/>
      <name val="Arial"/>
      <family val="0"/>
      <charset val="1"/>
    </font>
    <font>
      <b val="true"/>
      <sz val="16"/>
      <color rgb="FF9E6B00"/>
      <name val="Arial"/>
      <family val="0"/>
      <charset val="1"/>
    </font>
    <font>
      <b val="true"/>
      <sz val="10"/>
      <color rgb="FF00695C"/>
      <name val="Arial"/>
      <family val="0"/>
      <charset val="1"/>
    </font>
    <font>
      <b val="true"/>
      <sz val="10"/>
      <color rgb="FF4527A0"/>
      <name val="Arial"/>
      <family val="0"/>
      <charset val="1"/>
    </font>
    <font>
      <b val="true"/>
      <sz val="16"/>
      <color rgb="FF00695C"/>
      <name val="Arial"/>
      <family val="0"/>
      <charset val="1"/>
    </font>
    <font>
      <b val="true"/>
      <sz val="16"/>
      <color rgb="FF4527A0"/>
      <name val="Arial"/>
      <family val="0"/>
      <charset val="1"/>
    </font>
    <font>
      <b val="true"/>
      <sz val="10"/>
      <color rgb="FFBF360C"/>
      <name val="Arial"/>
      <family val="0"/>
      <charset val="1"/>
    </font>
    <font>
      <b val="true"/>
      <sz val="10"/>
      <color rgb="FF595959"/>
      <name val="Arial"/>
      <family val="0"/>
      <charset val="1"/>
    </font>
    <font>
      <b val="true"/>
      <sz val="16"/>
      <color rgb="FFBF360C"/>
      <name val="Arial"/>
      <family val="0"/>
      <charset val="1"/>
    </font>
    <font>
      <b val="true"/>
      <sz val="16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1"/>
      <color rgb="FF00695C"/>
      <name val="Arial"/>
      <family val="0"/>
      <charset val="1"/>
    </font>
    <font>
      <sz val="10"/>
      <color rgb="FF595959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5"/>
      <color rgb="FFFFFFFF"/>
      <name val="Arial"/>
      <family val="0"/>
      <charset val="1"/>
    </font>
    <font>
      <sz val="10"/>
      <color rgb="FF0070C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70C0"/>
      <name val="Arial"/>
      <family val="0"/>
      <charset val="1"/>
    </font>
    <font>
      <sz val="10"/>
      <color rgb="FF00695C"/>
      <name val="Arial"/>
      <family val="0"/>
      <charset val="1"/>
    </font>
    <font>
      <b val="true"/>
      <sz val="13"/>
      <color rgb="FF9E6B00"/>
      <name val="Arial"/>
      <family val="0"/>
      <charset val="1"/>
    </font>
    <font>
      <b val="true"/>
      <sz val="11"/>
      <color rgb="FF0070C0"/>
      <name val="Arial"/>
      <family val="0"/>
      <charset val="1"/>
    </font>
  </fonts>
  <fills count="20">
    <fill>
      <patternFill patternType="none"/>
    </fill>
    <fill>
      <patternFill patternType="gray125"/>
    </fill>
    <fill>
      <patternFill patternType="solid">
        <fgColor rgb="FF1F4E79"/>
        <bgColor rgb="FF00695C"/>
      </patternFill>
    </fill>
    <fill>
      <patternFill patternType="solid">
        <fgColor rgb="FFFFFFFF"/>
        <bgColor rgb="FFF5F5F5"/>
      </patternFill>
    </fill>
    <fill>
      <patternFill patternType="solid">
        <fgColor rgb="FFE2EFDA"/>
        <bgColor rgb="FFE0F2F1"/>
      </patternFill>
    </fill>
    <fill>
      <patternFill patternType="solid">
        <fgColor rgb="FFFFE7E7"/>
        <bgColor rgb="FFFBE9E7"/>
      </patternFill>
    </fill>
    <fill>
      <patternFill patternType="solid">
        <fgColor rgb="FFDEEAF1"/>
        <bgColor rgb="FFE0F2F1"/>
      </patternFill>
    </fill>
    <fill>
      <patternFill patternType="solid">
        <fgColor rgb="FFFFF2CC"/>
        <bgColor rgb="FFFBE9E7"/>
      </patternFill>
    </fill>
    <fill>
      <patternFill patternType="solid">
        <fgColor rgb="FFE0F2F1"/>
        <bgColor rgb="FFDEEAF1"/>
      </patternFill>
    </fill>
    <fill>
      <patternFill patternType="solid">
        <fgColor rgb="FFEDE7F6"/>
        <bgColor rgb="FFDEEAF1"/>
      </patternFill>
    </fill>
    <fill>
      <patternFill patternType="solid">
        <fgColor rgb="FFFBE9E7"/>
        <bgColor rgb="FFFFE7E7"/>
      </patternFill>
    </fill>
    <fill>
      <patternFill patternType="solid">
        <fgColor rgb="FFF5F5F5"/>
        <bgColor rgb="FFFFFFFF"/>
      </patternFill>
    </fill>
    <fill>
      <patternFill patternType="solid">
        <fgColor rgb="FF00695C"/>
        <bgColor rgb="FF008080"/>
      </patternFill>
    </fill>
    <fill>
      <patternFill patternType="solid">
        <fgColor rgb="FF4527A0"/>
        <bgColor rgb="FF1F4E79"/>
      </patternFill>
    </fill>
    <fill>
      <patternFill patternType="solid">
        <fgColor rgb="FF2E75B6"/>
        <bgColor rgb="FF0070C0"/>
      </patternFill>
    </fill>
    <fill>
      <patternFill patternType="solid">
        <fgColor rgb="FF375623"/>
        <bgColor rgb="FF595959"/>
      </patternFill>
    </fill>
    <fill>
      <patternFill patternType="solid">
        <fgColor rgb="FF70AD47"/>
        <bgColor rgb="FF339966"/>
      </patternFill>
    </fill>
    <fill>
      <patternFill patternType="solid">
        <fgColor rgb="FFFFD966"/>
        <bgColor rgb="FFFFCC00"/>
      </patternFill>
    </fill>
    <fill>
      <patternFill patternType="solid">
        <fgColor rgb="FFBF360C"/>
        <bgColor rgb="FF993366"/>
      </patternFill>
    </fill>
    <fill>
      <patternFill patternType="solid">
        <fgColor rgb="FF595959"/>
        <bgColor rgb="FF375623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/>
      <top style="thin">
        <color rgb="FFCCCCCC"/>
      </top>
      <bottom/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7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0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2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4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8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25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4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25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9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25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6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7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25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7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2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3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4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3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11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9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9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9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9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9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7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30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3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4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0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1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31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5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8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31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2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29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7" fillId="1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30" fillId="1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30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11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8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33" fillId="1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4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6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4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4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6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4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6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6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6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6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8" fillId="1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1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9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4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29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4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9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29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4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7" fillId="1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0" fillId="1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30" fillId="1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1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name val="Arial"/>
        <charset val="1"/>
        <family val="0"/>
        <b val="1"/>
        <color rgb="FFC00000"/>
        <sz val="10"/>
      </font>
      <fill>
        <patternFill>
          <bgColor rgb="FFFFE7E7"/>
        </patternFill>
      </fill>
    </dxf>
    <dxf>
      <font>
        <name val="Arial"/>
        <charset val="1"/>
        <family val="0"/>
        <b val="1"/>
        <color rgb="FF375623"/>
        <sz val="10"/>
      </font>
      <fill>
        <patternFill>
          <bgColor rgb="FFE2EFDA"/>
        </patternFill>
      </fill>
    </dxf>
    <dxf>
      <font>
        <name val="Arial"/>
        <charset val="1"/>
        <family val="0"/>
        <b val="1"/>
        <color rgb="FFBF360C"/>
        <sz val="10"/>
      </font>
      <fill>
        <patternFill>
          <bgColor rgb="FFFFF2CC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9E6B00"/>
      <rgbColor rgb="FF800080"/>
      <rgbColor rgb="FF00695C"/>
      <rgbColor rgb="FFCCCCCC"/>
      <rgbColor rgb="FF808080"/>
      <rgbColor rgb="FF9999FF"/>
      <rgbColor rgb="FF993366"/>
      <rgbColor rgb="FFFFF2CC"/>
      <rgbColor rgb="FFE0F2F1"/>
      <rgbColor rgb="FF660066"/>
      <rgbColor rgb="FFFF8080"/>
      <rgbColor rgb="FF0070C0"/>
      <rgbColor rgb="FFEDE7F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EEAF1"/>
      <rgbColor rgb="FFE2EFDA"/>
      <rgbColor rgb="FFFBE9E7"/>
      <rgbColor rgb="FFF5F5F5"/>
      <rgbColor rgb="FFFFE7E7"/>
      <rgbColor rgb="FFCC99FF"/>
      <rgbColor rgb="FFFFD966"/>
      <rgbColor rgb="FF2E75B6"/>
      <rgbColor rgb="FF33CCCC"/>
      <rgbColor rgb="FF99CC00"/>
      <rgbColor rgb="FFFFCC00"/>
      <rgbColor rgb="FFFF9900"/>
      <rgbColor rgb="FFFF6600"/>
      <rgbColor rgb="FF595959"/>
      <rgbColor rgb="FF70AD47"/>
      <rgbColor rgb="FF1F4E79"/>
      <rgbColor rgb="FF339966"/>
      <rgbColor rgb="FF003300"/>
      <rgbColor rgb="FF333300"/>
      <rgbColor rgb="FFBF360C"/>
      <rgbColor rgb="FF993366"/>
      <rgbColor rgb="FF4527A0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9"/>
    <pageSetUpPr fitToPage="false"/>
  </sheetPr>
  <dimension ref="A1:I3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4"/>
    <col collapsed="false" customWidth="true" hidden="false" outlineLevel="0" max="4" min="3" style="1" width="18"/>
    <col collapsed="false" customWidth="true" hidden="false" outlineLevel="0" max="5" min="5" style="1" width="3"/>
    <col collapsed="false" customWidth="true" hidden="false" outlineLevel="0" max="6" min="6" style="1" width="24"/>
    <col collapsed="false" customWidth="true" hidden="false" outlineLevel="0" max="8" min="7" style="1" width="18"/>
    <col collapsed="false" customWidth="true" hidden="false" outlineLevel="0" max="9" min="9" style="1" width="3"/>
  </cols>
  <sheetData>
    <row r="1" customFormat="false" ht="7.5" hidden="false" customHeight="true" outlineLevel="0" collapsed="false"/>
    <row r="2" customFormat="false" ht="34.5" hidden="false" customHeight="true" outlineLevel="0" collapsed="false">
      <c r="A2" s="2" t="s">
        <v>0</v>
      </c>
      <c r="B2" s="2"/>
      <c r="C2" s="2"/>
      <c r="D2" s="2"/>
      <c r="E2" s="2"/>
      <c r="F2" s="2"/>
      <c r="G2" s="2"/>
      <c r="H2" s="2"/>
      <c r="I2" s="2"/>
    </row>
    <row r="3" customFormat="false" ht="7.5" hidden="false" customHeight="true" outlineLevel="0" collapsed="false"/>
    <row r="4" customFormat="false" ht="7.5" hidden="false" customHeight="true" outlineLevel="0" collapsed="false">
      <c r="A4" s="3"/>
      <c r="B4" s="4" t="s">
        <v>1</v>
      </c>
      <c r="C4" s="4"/>
      <c r="D4" s="4"/>
      <c r="E4" s="3"/>
      <c r="F4" s="5" t="s">
        <v>2</v>
      </c>
      <c r="G4" s="5"/>
      <c r="H4" s="5"/>
      <c r="I4" s="3"/>
    </row>
    <row r="5" customFormat="false" ht="24" hidden="false" customHeight="true" outlineLevel="0" collapsed="false">
      <c r="A5" s="3"/>
      <c r="B5" s="6" t="n">
        <f aca="false">'📅 May 2026'!D29</f>
        <v>0</v>
      </c>
      <c r="C5" s="6"/>
      <c r="D5" s="6"/>
      <c r="E5" s="3"/>
      <c r="F5" s="7" t="n">
        <f aca="false">'📅 May 2026'!D22</f>
        <v>0</v>
      </c>
      <c r="G5" s="7"/>
      <c r="H5" s="7"/>
      <c r="I5" s="3"/>
    </row>
    <row r="6" customFormat="false" ht="24" hidden="false" customHeight="true" outlineLevel="0" collapsed="false">
      <c r="A6" s="3"/>
      <c r="B6" s="6"/>
      <c r="C6" s="6"/>
      <c r="D6" s="6"/>
      <c r="E6" s="3"/>
      <c r="F6" s="7"/>
      <c r="G6" s="7"/>
      <c r="H6" s="7"/>
      <c r="I6" s="3"/>
    </row>
    <row r="7" customFormat="false" ht="7.5" hidden="false" customHeight="true" outlineLevel="0" collapsed="false">
      <c r="A7" s="3"/>
      <c r="B7" s="8"/>
      <c r="C7" s="8"/>
      <c r="D7" s="8"/>
      <c r="E7" s="3"/>
      <c r="F7" s="9"/>
      <c r="G7" s="9"/>
      <c r="H7" s="9"/>
      <c r="I7" s="3"/>
    </row>
    <row r="8" customFormat="false" ht="7.5" hidden="false" customHeight="true" outlineLevel="0" collapsed="false">
      <c r="A8" s="3"/>
      <c r="B8" s="10" t="s">
        <v>3</v>
      </c>
      <c r="C8" s="10"/>
      <c r="D8" s="10"/>
      <c r="E8" s="3"/>
      <c r="F8" s="11" t="s">
        <v>4</v>
      </c>
      <c r="G8" s="11"/>
      <c r="H8" s="11"/>
      <c r="I8" s="3"/>
    </row>
    <row r="9" customFormat="false" ht="24" hidden="false" customHeight="true" outlineLevel="0" collapsed="false">
      <c r="A9" s="3"/>
      <c r="B9" s="12" t="str">
        <f aca="false">'📅 May 2026'!D31</f>
        <v>MONTHLY SUMMARY</v>
      </c>
      <c r="C9" s="12"/>
      <c r="D9" s="12"/>
      <c r="E9" s="3"/>
      <c r="F9" s="13" t="n">
        <f aca="false">IF('📅 May 2026'!D29&gt;0,'📅 May 2026'!D32,0)</f>
        <v>0</v>
      </c>
      <c r="G9" s="13"/>
      <c r="H9" s="13"/>
      <c r="I9" s="3"/>
    </row>
    <row r="10" customFormat="false" ht="24" hidden="false" customHeight="true" outlineLevel="0" collapsed="false">
      <c r="A10" s="3"/>
      <c r="B10" s="12"/>
      <c r="C10" s="12"/>
      <c r="D10" s="12"/>
      <c r="E10" s="3"/>
      <c r="F10" s="13"/>
      <c r="G10" s="13"/>
      <c r="H10" s="13"/>
      <c r="I10" s="3"/>
    </row>
    <row r="11" customFormat="false" ht="7.5" hidden="false" customHeight="true" outlineLevel="0" collapsed="false">
      <c r="A11" s="3"/>
      <c r="B11" s="14"/>
      <c r="C11" s="14"/>
      <c r="D11" s="14"/>
      <c r="E11" s="3"/>
      <c r="F11" s="15"/>
      <c r="G11" s="15"/>
      <c r="H11" s="15"/>
      <c r="I11" s="3"/>
    </row>
    <row r="12" customFormat="false" ht="7.5" hidden="false" customHeight="true" outlineLevel="0" collapsed="false">
      <c r="A12" s="3"/>
      <c r="B12" s="16" t="s">
        <v>5</v>
      </c>
      <c r="C12" s="16"/>
      <c r="D12" s="16"/>
      <c r="E12" s="3"/>
      <c r="F12" s="17" t="s">
        <v>6</v>
      </c>
      <c r="G12" s="17"/>
      <c r="H12" s="17"/>
      <c r="I12" s="3"/>
    </row>
    <row r="13" customFormat="false" ht="24" hidden="false" customHeight="true" outlineLevel="0" collapsed="false">
      <c r="A13" s="3"/>
      <c r="B13" s="18" t="n">
        <f aca="false">'🏦 Bank Accounts'!F12</f>
        <v>0</v>
      </c>
      <c r="C13" s="18"/>
      <c r="D13" s="18"/>
      <c r="E13" s="3"/>
      <c r="F13" s="19" t="n">
        <f aca="false">'🎯 Savings Goals'!G12</f>
        <v>0</v>
      </c>
      <c r="G13" s="19"/>
      <c r="H13" s="19"/>
      <c r="I13" s="3"/>
    </row>
    <row r="14" customFormat="false" ht="24" hidden="false" customHeight="true" outlineLevel="0" collapsed="false">
      <c r="A14" s="3"/>
      <c r="B14" s="18"/>
      <c r="C14" s="18"/>
      <c r="D14" s="18"/>
      <c r="E14" s="3"/>
      <c r="F14" s="19"/>
      <c r="G14" s="19"/>
      <c r="H14" s="19"/>
      <c r="I14" s="3"/>
    </row>
    <row r="15" customFormat="false" ht="7.5" hidden="false" customHeight="true" outlineLevel="0" collapsed="false">
      <c r="A15" s="3"/>
      <c r="B15" s="20"/>
      <c r="C15" s="20"/>
      <c r="D15" s="20"/>
      <c r="E15" s="3"/>
      <c r="F15" s="21"/>
      <c r="G15" s="21"/>
      <c r="H15" s="21"/>
      <c r="I15" s="3"/>
    </row>
    <row r="16" customFormat="false" ht="7.5" hidden="false" customHeight="true" outlineLevel="0" collapsed="false">
      <c r="A16" s="3"/>
      <c r="B16" s="22" t="s">
        <v>7</v>
      </c>
      <c r="C16" s="22"/>
      <c r="D16" s="22"/>
      <c r="E16" s="3"/>
      <c r="F16" s="23" t="s">
        <v>8</v>
      </c>
      <c r="G16" s="23"/>
      <c r="H16" s="23"/>
      <c r="I16" s="3"/>
    </row>
    <row r="17" customFormat="false" ht="24" hidden="false" customHeight="true" outlineLevel="0" collapsed="false">
      <c r="A17" s="3"/>
      <c r="B17" s="24" t="n">
        <f aca="false">'📅 May 2026'!C22</f>
        <v>77000</v>
      </c>
      <c r="C17" s="24"/>
      <c r="D17" s="24"/>
      <c r="E17" s="3"/>
      <c r="F17" s="25" t="n">
        <f aca="false">COUNTA('📅 May 2026'!K6:K55)</f>
        <v>0</v>
      </c>
      <c r="G17" s="25"/>
      <c r="H17" s="25"/>
      <c r="I17" s="3"/>
    </row>
    <row r="18" customFormat="false" ht="24" hidden="false" customHeight="true" outlineLevel="0" collapsed="false">
      <c r="A18" s="3"/>
      <c r="B18" s="24"/>
      <c r="C18" s="24"/>
      <c r="D18" s="24"/>
      <c r="E18" s="3"/>
      <c r="F18" s="25"/>
      <c r="G18" s="25"/>
      <c r="H18" s="25"/>
      <c r="I18" s="3"/>
    </row>
    <row r="19" customFormat="false" ht="7.5" hidden="false" customHeight="true" outlineLevel="0" collapsed="false">
      <c r="A19" s="3"/>
      <c r="B19" s="26"/>
      <c r="C19" s="26"/>
      <c r="D19" s="26"/>
      <c r="E19" s="3"/>
      <c r="F19" s="27"/>
      <c r="G19" s="27"/>
      <c r="H19" s="27"/>
      <c r="I19" s="3"/>
    </row>
    <row r="22" customFormat="false" ht="21.75" hidden="false" customHeight="true" outlineLevel="0" collapsed="false">
      <c r="B22" s="28" t="s">
        <v>9</v>
      </c>
      <c r="C22" s="28"/>
      <c r="D22" s="28"/>
      <c r="E22" s="28"/>
      <c r="F22" s="28"/>
      <c r="G22" s="28"/>
      <c r="H22" s="28"/>
    </row>
    <row r="23" customFormat="false" ht="15.75" hidden="false" customHeight="true" outlineLevel="0" collapsed="false">
      <c r="B23" s="29" t="s">
        <v>10</v>
      </c>
      <c r="C23" s="29" t="s">
        <v>11</v>
      </c>
      <c r="D23" s="29" t="s">
        <v>12</v>
      </c>
      <c r="F23" s="29" t="s">
        <v>13</v>
      </c>
      <c r="G23" s="29" t="s">
        <v>14</v>
      </c>
      <c r="H23" s="30"/>
    </row>
    <row r="24" customFormat="false" ht="18" hidden="false" customHeight="true" outlineLevel="0" collapsed="false">
      <c r="B24" s="31" t="s">
        <v>15</v>
      </c>
      <c r="C24" s="20" t="s">
        <v>16</v>
      </c>
      <c r="D24" s="20" t="s">
        <v>17</v>
      </c>
      <c r="E24" s="32"/>
      <c r="F24" s="33" t="n">
        <f aca="false">'🏦 Bank Accounts'!F8</f>
        <v>0</v>
      </c>
      <c r="G24" s="34" t="s">
        <v>18</v>
      </c>
      <c r="H24" s="32"/>
    </row>
    <row r="25" customFormat="false" ht="18" hidden="false" customHeight="true" outlineLevel="0" collapsed="false">
      <c r="B25" s="35" t="s">
        <v>19</v>
      </c>
      <c r="C25" s="8" t="s">
        <v>20</v>
      </c>
      <c r="D25" s="8" t="s">
        <v>21</v>
      </c>
      <c r="E25" s="36"/>
      <c r="F25" s="37" t="n">
        <f aca="false">'🏦 Bank Accounts'!F9</f>
        <v>0</v>
      </c>
      <c r="G25" s="38" t="s">
        <v>22</v>
      </c>
      <c r="H25" s="36"/>
    </row>
    <row r="26" customFormat="false" ht="18" hidden="false" customHeight="true" outlineLevel="0" collapsed="false">
      <c r="B26" s="39" t="s">
        <v>23</v>
      </c>
      <c r="C26" s="21" t="s">
        <v>20</v>
      </c>
      <c r="D26" s="21" t="s">
        <v>24</v>
      </c>
      <c r="E26" s="40"/>
      <c r="F26" s="41" t="n">
        <f aca="false">'🏦 Bank Accounts'!F10</f>
        <v>0</v>
      </c>
      <c r="G26" s="42" t="s">
        <v>25</v>
      </c>
      <c r="H26" s="40"/>
    </row>
    <row r="27" customFormat="false" ht="18" hidden="false" customHeight="true" outlineLevel="0" collapsed="false">
      <c r="B27" s="43" t="s">
        <v>26</v>
      </c>
      <c r="C27" s="15" t="s">
        <v>27</v>
      </c>
      <c r="D27" s="15" t="s">
        <v>28</v>
      </c>
      <c r="E27" s="44"/>
      <c r="F27" s="45" t="n">
        <f aca="false">'🏦 Bank Accounts'!F11</f>
        <v>0</v>
      </c>
      <c r="G27" s="46" t="s">
        <v>22</v>
      </c>
      <c r="H27" s="44"/>
    </row>
    <row r="28" customFormat="false" ht="18" hidden="false" customHeight="true" outlineLevel="0" collapsed="false">
      <c r="B28" s="30"/>
      <c r="C28" s="30"/>
      <c r="D28" s="47" t="s">
        <v>29</v>
      </c>
      <c r="E28" s="30"/>
      <c r="F28" s="48" t="n">
        <f aca="false">'🏦 Bank Accounts'!F12</f>
        <v>0</v>
      </c>
      <c r="G28" s="30"/>
      <c r="H28" s="30"/>
    </row>
    <row r="31" customFormat="false" ht="21.75" hidden="false" customHeight="true" outlineLevel="0" collapsed="false">
      <c r="B31" s="49" t="s">
        <v>30</v>
      </c>
      <c r="C31" s="49"/>
      <c r="D31" s="49"/>
      <c r="E31" s="49"/>
      <c r="F31" s="49"/>
      <c r="G31" s="49"/>
      <c r="H31" s="49"/>
    </row>
    <row r="32" customFormat="false" ht="15.75" hidden="false" customHeight="true" outlineLevel="0" collapsed="false">
      <c r="B32" s="50" t="s">
        <v>31</v>
      </c>
      <c r="C32" s="50" t="s">
        <v>32</v>
      </c>
      <c r="D32" s="50" t="s">
        <v>33</v>
      </c>
      <c r="E32" s="51"/>
      <c r="F32" s="50" t="s">
        <v>34</v>
      </c>
      <c r="G32" s="50" t="s">
        <v>35</v>
      </c>
      <c r="H32" s="50" t="s">
        <v>36</v>
      </c>
    </row>
    <row r="33" customFormat="false" ht="18" hidden="false" customHeight="true" outlineLevel="0" collapsed="false">
      <c r="B33" s="52" t="s">
        <v>37</v>
      </c>
      <c r="C33" s="53" t="n">
        <f aca="false">'🎯 Savings Goals'!C6</f>
        <v>70000</v>
      </c>
      <c r="D33" s="53" t="n">
        <f aca="false">'🎯 Savings Goals'!D6</f>
        <v>0</v>
      </c>
      <c r="E33" s="54"/>
      <c r="F33" s="55" t="n">
        <f aca="false">'🎯 Savings Goals'!G6</f>
        <v>0</v>
      </c>
      <c r="G33" s="56" t="n">
        <f aca="false">'🎯 Savings Goals'!H6</f>
        <v>46387</v>
      </c>
      <c r="H33" s="57" t="str">
        <f aca="false">IF('🎯 Savings Goals'!G6&gt;=1,"✅ Done",IF('🎯 Savings Goals'!I6="Overdue","⚠ Overdue","🔵 In Progress"))</f>
        <v>🔵 In Progress</v>
      </c>
    </row>
    <row r="34" customFormat="false" ht="18" hidden="false" customHeight="true" outlineLevel="0" collapsed="false">
      <c r="B34" s="58" t="s">
        <v>38</v>
      </c>
      <c r="C34" s="59" t="n">
        <f aca="false">'🎯 Savings Goals'!C7</f>
        <v>30000</v>
      </c>
      <c r="D34" s="59" t="n">
        <f aca="false">'🎯 Savings Goals'!D7</f>
        <v>0</v>
      </c>
      <c r="E34" s="60"/>
      <c r="F34" s="61" t="n">
        <f aca="false">'🎯 Savings Goals'!G7</f>
        <v>0</v>
      </c>
      <c r="G34" s="62" t="n">
        <f aca="false">'🎯 Savings Goals'!H7</f>
        <v>46295</v>
      </c>
      <c r="H34" s="63" t="str">
        <f aca="false">IF('🎯 Savings Goals'!G7&gt;=1,"✅ Done",IF('🎯 Savings Goals'!I7="Overdue","⚠ Overdue","🔵 In Progress"))</f>
        <v>🔵 In Progress</v>
      </c>
    </row>
    <row r="35" customFormat="false" ht="18" hidden="false" customHeight="true" outlineLevel="0" collapsed="false">
      <c r="B35" s="52" t="s">
        <v>39</v>
      </c>
      <c r="C35" s="53" t="n">
        <f aca="false">'🎯 Savings Goals'!C8</f>
        <v>25000</v>
      </c>
      <c r="D35" s="53" t="n">
        <f aca="false">'🎯 Savings Goals'!D8</f>
        <v>0</v>
      </c>
      <c r="E35" s="54"/>
      <c r="F35" s="55" t="n">
        <f aca="false">'🎯 Savings Goals'!G8</f>
        <v>0</v>
      </c>
      <c r="G35" s="56" t="n">
        <f aca="false">'🎯 Savings Goals'!H8</f>
        <v>46326</v>
      </c>
      <c r="H35" s="57" t="str">
        <f aca="false">IF('🎯 Savings Goals'!G8&gt;=1,"✅ Done",IF('🎯 Savings Goals'!I8="Overdue","⚠ Overdue","🔵 In Progress"))</f>
        <v>🔵 In Progress</v>
      </c>
    </row>
    <row r="36" customFormat="false" ht="18" hidden="false" customHeight="true" outlineLevel="0" collapsed="false">
      <c r="B36" s="58" t="s">
        <v>40</v>
      </c>
      <c r="C36" s="59" t="n">
        <f aca="false">'🎯 Savings Goals'!C9</f>
        <v>70000</v>
      </c>
      <c r="D36" s="59" t="n">
        <f aca="false">'🎯 Savings Goals'!D9</f>
        <v>0</v>
      </c>
      <c r="E36" s="60"/>
      <c r="F36" s="61" t="n">
        <f aca="false">'🎯 Savings Goals'!G9</f>
        <v>0</v>
      </c>
      <c r="G36" s="62" t="n">
        <f aca="false">'🎯 Savings Goals'!H9</f>
        <v>46477</v>
      </c>
      <c r="H36" s="63" t="str">
        <f aca="false">IF('🎯 Savings Goals'!G9&gt;=1,"✅ Done",IF('🎯 Savings Goals'!I9="Overdue","⚠ Overdue","🔵 In Progress"))</f>
        <v>🔵 In Progress</v>
      </c>
    </row>
    <row r="37" customFormat="false" ht="18" hidden="false" customHeight="true" outlineLevel="0" collapsed="false">
      <c r="B37" s="52" t="s">
        <v>41</v>
      </c>
      <c r="C37" s="53" t="n">
        <f aca="false">'🎯 Savings Goals'!C10</f>
        <v>40000</v>
      </c>
      <c r="D37" s="53" t="n">
        <f aca="false">'🎯 Savings Goals'!D10</f>
        <v>0</v>
      </c>
      <c r="E37" s="54"/>
      <c r="F37" s="55" t="n">
        <f aca="false">'🎯 Savings Goals'!G10</f>
        <v>0</v>
      </c>
      <c r="G37" s="56" t="n">
        <f aca="false">'🎯 Savings Goals'!H10</f>
        <v>46387</v>
      </c>
      <c r="H37" s="57" t="str">
        <f aca="false">IF('🎯 Savings Goals'!G10&gt;=1,"✅ Done",IF('🎯 Savings Goals'!I10="Overdue","⚠ Overdue","🔵 In Progress"))</f>
        <v>🔵 In Progress</v>
      </c>
    </row>
    <row r="38" customFormat="false" ht="18" hidden="false" customHeight="true" outlineLevel="0" collapsed="false">
      <c r="B38" s="58" t="s">
        <v>42</v>
      </c>
      <c r="C38" s="59" t="n">
        <f aca="false">'🎯 Savings Goals'!C11</f>
        <v>200000</v>
      </c>
      <c r="D38" s="59" t="n">
        <f aca="false">'🎯 Savings Goals'!D11</f>
        <v>0</v>
      </c>
      <c r="E38" s="60"/>
      <c r="F38" s="61" t="n">
        <f aca="false">'🎯 Savings Goals'!G11</f>
        <v>0</v>
      </c>
      <c r="G38" s="62" t="n">
        <f aca="false">'🎯 Savings Goals'!H11</f>
        <v>46568</v>
      </c>
      <c r="H38" s="63" t="str">
        <f aca="false">IF('🎯 Savings Goals'!G11&gt;=1,"✅ Done",IF('🎯 Savings Goals'!I11="Overdue","⚠ Overdue","🔵 In Progress"))</f>
        <v>🔵 In Progress</v>
      </c>
    </row>
  </sheetData>
  <mergeCells count="27">
    <mergeCell ref="A2:I2"/>
    <mergeCell ref="B4:D4"/>
    <mergeCell ref="F4:H4"/>
    <mergeCell ref="B5:D6"/>
    <mergeCell ref="F5:H6"/>
    <mergeCell ref="B7:D7"/>
    <mergeCell ref="F7:H7"/>
    <mergeCell ref="B8:D8"/>
    <mergeCell ref="F8:H8"/>
    <mergeCell ref="B9:D10"/>
    <mergeCell ref="F9:H10"/>
    <mergeCell ref="B11:D11"/>
    <mergeCell ref="F11:H11"/>
    <mergeCell ref="B12:D12"/>
    <mergeCell ref="F12:H12"/>
    <mergeCell ref="B13:D14"/>
    <mergeCell ref="F13:H14"/>
    <mergeCell ref="B15:D15"/>
    <mergeCell ref="F15:H15"/>
    <mergeCell ref="B16:D16"/>
    <mergeCell ref="F16:H16"/>
    <mergeCell ref="B17:D18"/>
    <mergeCell ref="F17:H18"/>
    <mergeCell ref="B19:D19"/>
    <mergeCell ref="F19:H19"/>
    <mergeCell ref="B22:H22"/>
    <mergeCell ref="B31:H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M5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4"/>
    <col collapsed="false" customWidth="true" hidden="false" outlineLevel="0" max="5" min="3" style="1" width="14"/>
    <col collapsed="false" customWidth="true" hidden="false" outlineLevel="0" max="6" min="6" style="1" width="10"/>
    <col collapsed="false" customWidth="true" hidden="false" outlineLevel="0" max="7" min="7" style="1" width="14"/>
    <col collapsed="false" customWidth="true" hidden="false" outlineLevel="0" max="8" min="8" style="1" width="2"/>
    <col collapsed="false" customWidth="true" hidden="false" outlineLevel="0" max="9" min="9" style="1" width="4"/>
    <col collapsed="false" customWidth="true" hidden="false" outlineLevel="0" max="10" min="10" style="1" width="12"/>
    <col collapsed="false" customWidth="true" hidden="false" outlineLevel="0" max="12" min="11" style="1" width="22"/>
    <col collapsed="false" customWidth="true" hidden="false" outlineLevel="0" max="13" min="13" style="1" width="14"/>
  </cols>
  <sheetData>
    <row r="1" customFormat="false" ht="7.5" hidden="false" customHeight="true" outlineLevel="0" collapsed="false"/>
    <row r="2" customFormat="false" ht="30" hidden="false" customHeight="true" outlineLevel="0" collapsed="false">
      <c r="A2" s="64" t="s">
        <v>43</v>
      </c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</row>
    <row r="3" customFormat="false" ht="7.5" hidden="false" customHeight="true" outlineLevel="0" collapsed="false"/>
    <row r="4" customFormat="false" ht="21.75" hidden="false" customHeight="true" outlineLevel="0" collapsed="false">
      <c r="A4" s="65" t="s">
        <v>44</v>
      </c>
      <c r="B4" s="65"/>
      <c r="C4" s="65"/>
      <c r="D4" s="65"/>
      <c r="E4" s="65"/>
      <c r="F4" s="65"/>
      <c r="G4" s="65"/>
      <c r="I4" s="65" t="s">
        <v>45</v>
      </c>
      <c r="J4" s="65"/>
      <c r="K4" s="65"/>
      <c r="L4" s="65"/>
      <c r="M4" s="65"/>
    </row>
    <row r="5" customFormat="false" ht="18" hidden="false" customHeight="true" outlineLevel="0" collapsed="false">
      <c r="A5" s="66" t="s">
        <v>46</v>
      </c>
      <c r="B5" s="66" t="s">
        <v>47</v>
      </c>
      <c r="C5" s="66" t="s">
        <v>48</v>
      </c>
      <c r="D5" s="66" t="s">
        <v>49</v>
      </c>
      <c r="E5" s="66" t="s">
        <v>50</v>
      </c>
      <c r="F5" s="66" t="s">
        <v>51</v>
      </c>
      <c r="G5" s="66" t="s">
        <v>36</v>
      </c>
      <c r="I5" s="66" t="s">
        <v>46</v>
      </c>
      <c r="J5" s="66" t="s">
        <v>52</v>
      </c>
      <c r="K5" s="66" t="s">
        <v>47</v>
      </c>
      <c r="L5" s="66" t="s">
        <v>53</v>
      </c>
      <c r="M5" s="66" t="s">
        <v>54</v>
      </c>
    </row>
    <row r="6" customFormat="false" ht="15.75" hidden="false" customHeight="true" outlineLevel="0" collapsed="false">
      <c r="A6" s="57" t="n">
        <v>1</v>
      </c>
      <c r="B6" s="67" t="s">
        <v>55</v>
      </c>
      <c r="C6" s="68" t="n">
        <v>10000</v>
      </c>
      <c r="D6" s="53" t="n">
        <f aca="false">SUMIF($K$6:$K$55,B6,$M$6:$M$55)</f>
        <v>0</v>
      </c>
      <c r="E6" s="53" t="n">
        <f aca="false">C6-D6</f>
        <v>10000</v>
      </c>
      <c r="F6" s="55" t="n">
        <f aca="false">IF(C6&gt;0,D6/C6,IF(D6&gt;0,1,0))</f>
        <v>0</v>
      </c>
      <c r="G6" s="57" t="str">
        <f aca="false">IF(C6=0,IF(D6&gt;0,"⚠ Unbudgeted","—"),IF(D6=0,"✦ Clear",IF(D6&lt;C6,"✔ OK","✖ Over")))</f>
        <v>✦ Clear</v>
      </c>
      <c r="I6" s="69" t="str">
        <f aca="false">IF(M6&lt;&gt;"",ROW()-5,"")</f>
        <v/>
      </c>
      <c r="J6" s="54"/>
      <c r="K6" s="54"/>
      <c r="L6" s="54"/>
      <c r="M6" s="68"/>
    </row>
    <row r="7" customFormat="false" ht="15.75" hidden="false" customHeight="true" outlineLevel="0" collapsed="false">
      <c r="A7" s="63" t="n">
        <v>2</v>
      </c>
      <c r="B7" s="27" t="s">
        <v>56</v>
      </c>
      <c r="C7" s="70" t="n">
        <v>5000</v>
      </c>
      <c r="D7" s="59" t="n">
        <f aca="false">SUMIF($K$6:$K$55,B7,$M$6:$M$55)</f>
        <v>0</v>
      </c>
      <c r="E7" s="59" t="n">
        <f aca="false">C7-D7</f>
        <v>5000</v>
      </c>
      <c r="F7" s="61" t="n">
        <f aca="false">IF(C7&gt;0,D7/C7,IF(D7&gt;0,1,0))</f>
        <v>0</v>
      </c>
      <c r="G7" s="63" t="str">
        <f aca="false">IF(C7=0,IF(D7&gt;0,"⚠ Unbudgeted","—"),IF(D7=0,"✦ Clear",IF(D7&lt;C7,"✔ OK","✖ Over")))</f>
        <v>✦ Clear</v>
      </c>
      <c r="I7" s="71" t="str">
        <f aca="false">IF(M7&lt;&gt;"",ROW()-5,"")</f>
        <v/>
      </c>
      <c r="J7" s="60"/>
      <c r="K7" s="60"/>
      <c r="L7" s="60"/>
      <c r="M7" s="70"/>
    </row>
    <row r="8" customFormat="false" ht="15.75" hidden="false" customHeight="true" outlineLevel="0" collapsed="false">
      <c r="A8" s="57" t="n">
        <v>3</v>
      </c>
      <c r="B8" s="67" t="s">
        <v>57</v>
      </c>
      <c r="C8" s="68" t="n">
        <v>8000</v>
      </c>
      <c r="D8" s="53" t="n">
        <f aca="false">SUMIF($K$6:$K$55,B8,$M$6:$M$55)</f>
        <v>0</v>
      </c>
      <c r="E8" s="53" t="n">
        <f aca="false">C8-D8</f>
        <v>8000</v>
      </c>
      <c r="F8" s="55" t="n">
        <f aca="false">IF(C8&gt;0,D8/C8,IF(D8&gt;0,1,0))</f>
        <v>0</v>
      </c>
      <c r="G8" s="57" t="str">
        <f aca="false">IF(C8=0,IF(D8&gt;0,"⚠ Unbudgeted","—"),IF(D8=0,"✦ Clear",IF(D8&lt;C8,"✔ OK","✖ Over")))</f>
        <v>✦ Clear</v>
      </c>
      <c r="I8" s="69" t="str">
        <f aca="false">IF(M8&lt;&gt;"",ROW()-5,"")</f>
        <v/>
      </c>
      <c r="J8" s="54"/>
      <c r="K8" s="54"/>
      <c r="L8" s="54"/>
      <c r="M8" s="68"/>
    </row>
    <row r="9" customFormat="false" ht="15.75" hidden="false" customHeight="true" outlineLevel="0" collapsed="false">
      <c r="A9" s="63" t="n">
        <v>4</v>
      </c>
      <c r="B9" s="27" t="s">
        <v>58</v>
      </c>
      <c r="C9" s="70" t="n">
        <v>5000</v>
      </c>
      <c r="D9" s="59" t="n">
        <f aca="false">SUMIF($K$6:$K$55,B9,$M$6:$M$55)</f>
        <v>0</v>
      </c>
      <c r="E9" s="59" t="n">
        <f aca="false">C9-D9</f>
        <v>5000</v>
      </c>
      <c r="F9" s="61" t="n">
        <f aca="false">IF(C9&gt;0,D9/C9,IF(D9&gt;0,1,0))</f>
        <v>0</v>
      </c>
      <c r="G9" s="63" t="str">
        <f aca="false">IF(C9=0,IF(D9&gt;0,"⚠ Unbudgeted","—"),IF(D9=0,"✦ Clear",IF(D9&lt;C9,"✔ OK","✖ Over")))</f>
        <v>✦ Clear</v>
      </c>
      <c r="I9" s="71" t="str">
        <f aca="false">IF(M9&lt;&gt;"",ROW()-5,"")</f>
        <v/>
      </c>
      <c r="J9" s="60"/>
      <c r="K9" s="60"/>
      <c r="L9" s="60"/>
      <c r="M9" s="70"/>
    </row>
    <row r="10" customFormat="false" ht="15.75" hidden="false" customHeight="true" outlineLevel="0" collapsed="false">
      <c r="A10" s="57" t="n">
        <v>5</v>
      </c>
      <c r="B10" s="67" t="s">
        <v>59</v>
      </c>
      <c r="C10" s="68" t="n">
        <v>8000</v>
      </c>
      <c r="D10" s="53" t="n">
        <f aca="false">SUMIF($K$6:$K$55,B10,$M$6:$M$55)</f>
        <v>0</v>
      </c>
      <c r="E10" s="53" t="n">
        <f aca="false">C10-D10</f>
        <v>8000</v>
      </c>
      <c r="F10" s="55" t="n">
        <f aca="false">IF(C10&gt;0,D10/C10,IF(D10&gt;0,1,0))</f>
        <v>0</v>
      </c>
      <c r="G10" s="57" t="str">
        <f aca="false">IF(C10=0,IF(D10&gt;0,"⚠ Unbudgeted","—"),IF(D10=0,"✦ Clear",IF(D10&lt;C10,"✔ OK","✖ Over")))</f>
        <v>✦ Clear</v>
      </c>
      <c r="I10" s="69" t="str">
        <f aca="false">IF(M10&lt;&gt;"",ROW()-5,"")</f>
        <v/>
      </c>
      <c r="J10" s="54"/>
      <c r="K10" s="54"/>
      <c r="L10" s="54"/>
      <c r="M10" s="68"/>
    </row>
    <row r="11" customFormat="false" ht="15.75" hidden="false" customHeight="true" outlineLevel="0" collapsed="false">
      <c r="A11" s="63" t="n">
        <v>6</v>
      </c>
      <c r="B11" s="27" t="s">
        <v>60</v>
      </c>
      <c r="C11" s="70" t="n">
        <v>5000</v>
      </c>
      <c r="D11" s="59" t="n">
        <f aca="false">SUMIF($K$6:$K$55,B11,$M$6:$M$55)</f>
        <v>0</v>
      </c>
      <c r="E11" s="59" t="n">
        <f aca="false">C11-D11</f>
        <v>5000</v>
      </c>
      <c r="F11" s="61" t="n">
        <f aca="false">IF(C11&gt;0,D11/C11,IF(D11&gt;0,1,0))</f>
        <v>0</v>
      </c>
      <c r="G11" s="63" t="str">
        <f aca="false">IF(C11=0,IF(D11&gt;0,"⚠ Unbudgeted","—"),IF(D11=0,"✦ Clear",IF(D11&lt;C11,"✔ OK","✖ Over")))</f>
        <v>✦ Clear</v>
      </c>
      <c r="I11" s="71" t="str">
        <f aca="false">IF(M11&lt;&gt;"",ROW()-5,"")</f>
        <v/>
      </c>
      <c r="J11" s="60"/>
      <c r="K11" s="60"/>
      <c r="L11" s="60"/>
      <c r="M11" s="70"/>
    </row>
    <row r="12" customFormat="false" ht="15.75" hidden="false" customHeight="true" outlineLevel="0" collapsed="false">
      <c r="A12" s="57" t="n">
        <v>7</v>
      </c>
      <c r="B12" s="67" t="s">
        <v>61</v>
      </c>
      <c r="C12" s="68" t="n">
        <v>3000</v>
      </c>
      <c r="D12" s="53" t="n">
        <f aca="false">SUMIF($K$6:$K$55,B12,$M$6:$M$55)</f>
        <v>0</v>
      </c>
      <c r="E12" s="53" t="n">
        <f aca="false">C12-D12</f>
        <v>3000</v>
      </c>
      <c r="F12" s="55" t="n">
        <f aca="false">IF(C12&gt;0,D12/C12,IF(D12&gt;0,1,0))</f>
        <v>0</v>
      </c>
      <c r="G12" s="57" t="str">
        <f aca="false">IF(C12=0,IF(D12&gt;0,"⚠ Unbudgeted","—"),IF(D12=0,"✦ Clear",IF(D12&lt;C12,"✔ OK","✖ Over")))</f>
        <v>✦ Clear</v>
      </c>
      <c r="I12" s="69" t="str">
        <f aca="false">IF(M12&lt;&gt;"",ROW()-5,"")</f>
        <v/>
      </c>
      <c r="J12" s="54"/>
      <c r="K12" s="54"/>
      <c r="L12" s="54"/>
      <c r="M12" s="68"/>
    </row>
    <row r="13" customFormat="false" ht="15.75" hidden="false" customHeight="true" outlineLevel="0" collapsed="false">
      <c r="A13" s="63" t="n">
        <v>8</v>
      </c>
      <c r="B13" s="27" t="s">
        <v>62</v>
      </c>
      <c r="C13" s="70" t="n">
        <v>2000</v>
      </c>
      <c r="D13" s="59" t="n">
        <f aca="false">SUMIF($K$6:$K$55,B13,$M$6:$M$55)</f>
        <v>0</v>
      </c>
      <c r="E13" s="59" t="n">
        <f aca="false">C13-D13</f>
        <v>2000</v>
      </c>
      <c r="F13" s="61" t="n">
        <f aca="false">IF(C13&gt;0,D13/C13,IF(D13&gt;0,1,0))</f>
        <v>0</v>
      </c>
      <c r="G13" s="63" t="str">
        <f aca="false">IF(C13=0,IF(D13&gt;0,"⚠ Unbudgeted","—"),IF(D13=0,"✦ Clear",IF(D13&lt;C13,"✔ OK","✖ Over")))</f>
        <v>✦ Clear</v>
      </c>
      <c r="I13" s="71" t="str">
        <f aca="false">IF(M13&lt;&gt;"",ROW()-5,"")</f>
        <v/>
      </c>
      <c r="J13" s="60"/>
      <c r="K13" s="60"/>
      <c r="L13" s="60"/>
      <c r="M13" s="70"/>
    </row>
    <row r="14" customFormat="false" ht="15.75" hidden="false" customHeight="true" outlineLevel="0" collapsed="false">
      <c r="A14" s="57" t="n">
        <v>9</v>
      </c>
      <c r="B14" s="67" t="s">
        <v>63</v>
      </c>
      <c r="C14" s="68" t="n">
        <v>5000</v>
      </c>
      <c r="D14" s="53" t="n">
        <f aca="false">SUMIF($K$6:$K$55,B14,$M$6:$M$55)</f>
        <v>0</v>
      </c>
      <c r="E14" s="53" t="n">
        <f aca="false">C14-D14</f>
        <v>5000</v>
      </c>
      <c r="F14" s="55" t="n">
        <f aca="false">IF(C14&gt;0,D14/C14,IF(D14&gt;0,1,0))</f>
        <v>0</v>
      </c>
      <c r="G14" s="57" t="str">
        <f aca="false">IF(C14=0,IF(D14&gt;0,"⚠ Unbudgeted","—"),IF(D14=0,"✦ Clear",IF(D14&lt;C14,"✔ OK","✖ Over")))</f>
        <v>✦ Clear</v>
      </c>
      <c r="I14" s="69" t="str">
        <f aca="false">IF(M14&lt;&gt;"",ROW()-5,"")</f>
        <v/>
      </c>
      <c r="J14" s="54"/>
      <c r="K14" s="54"/>
      <c r="L14" s="54"/>
      <c r="M14" s="68"/>
    </row>
    <row r="15" customFormat="false" ht="15.75" hidden="false" customHeight="true" outlineLevel="0" collapsed="false">
      <c r="A15" s="63" t="n">
        <v>10</v>
      </c>
      <c r="B15" s="27" t="s">
        <v>64</v>
      </c>
      <c r="C15" s="70" t="n">
        <v>15000</v>
      </c>
      <c r="D15" s="59" t="n">
        <f aca="false">SUMIF($K$6:$K$55,B15,$M$6:$M$55)</f>
        <v>0</v>
      </c>
      <c r="E15" s="59" t="n">
        <f aca="false">C15-D15</f>
        <v>15000</v>
      </c>
      <c r="F15" s="61" t="n">
        <f aca="false">IF(C15&gt;0,D15/C15,IF(D15&gt;0,1,0))</f>
        <v>0</v>
      </c>
      <c r="G15" s="63" t="str">
        <f aca="false">IF(C15=0,IF(D15&gt;0,"⚠ Unbudgeted","—"),IF(D15=0,"✦ Clear",IF(D15&lt;C15,"✔ OK","✖ Over")))</f>
        <v>✦ Clear</v>
      </c>
      <c r="I15" s="71" t="str">
        <f aca="false">IF(M15&lt;&gt;"",ROW()-5,"")</f>
        <v/>
      </c>
      <c r="J15" s="60"/>
      <c r="K15" s="60"/>
      <c r="L15" s="60"/>
      <c r="M15" s="70"/>
    </row>
    <row r="16" customFormat="false" ht="15.75" hidden="false" customHeight="true" outlineLevel="0" collapsed="false">
      <c r="A16" s="57" t="n">
        <v>11</v>
      </c>
      <c r="B16" s="67" t="s">
        <v>65</v>
      </c>
      <c r="C16" s="68" t="n">
        <v>0</v>
      </c>
      <c r="D16" s="53" t="n">
        <f aca="false">SUMIF($K$6:$K$55,B16,$M$6:$M$55)</f>
        <v>0</v>
      </c>
      <c r="E16" s="53" t="n">
        <f aca="false">C16-D16</f>
        <v>0</v>
      </c>
      <c r="F16" s="55" t="n">
        <f aca="false">IF(C16&gt;0,D16/C16,IF(D16&gt;0,1,0))</f>
        <v>0</v>
      </c>
      <c r="G16" s="57" t="str">
        <f aca="false">IF(C16=0,IF(D16&gt;0,"⚠ Unbudgeted","—"),IF(D16=0,"✦ Clear",IF(D16&lt;C16,"✔ OK","✖ Over")))</f>
        <v>—</v>
      </c>
      <c r="I16" s="69" t="str">
        <f aca="false">IF(M16&lt;&gt;"",ROW()-5,"")</f>
        <v/>
      </c>
      <c r="J16" s="54"/>
      <c r="K16" s="54"/>
      <c r="L16" s="54"/>
      <c r="M16" s="68"/>
    </row>
    <row r="17" customFormat="false" ht="15.75" hidden="false" customHeight="true" outlineLevel="0" collapsed="false">
      <c r="A17" s="63" t="n">
        <v>12</v>
      </c>
      <c r="B17" s="27" t="s">
        <v>66</v>
      </c>
      <c r="C17" s="70" t="n">
        <v>3000</v>
      </c>
      <c r="D17" s="59" t="n">
        <f aca="false">SUMIF($K$6:$K$55,B17,$M$6:$M$55)</f>
        <v>0</v>
      </c>
      <c r="E17" s="59" t="n">
        <f aca="false">C17-D17</f>
        <v>3000</v>
      </c>
      <c r="F17" s="61" t="n">
        <f aca="false">IF(C17&gt;0,D17/C17,IF(D17&gt;0,1,0))</f>
        <v>0</v>
      </c>
      <c r="G17" s="63" t="str">
        <f aca="false">IF(C17=0,IF(D17&gt;0,"⚠ Unbudgeted","—"),IF(D17=0,"✦ Clear",IF(D17&lt;C17,"✔ OK","✖ Over")))</f>
        <v>✦ Clear</v>
      </c>
      <c r="I17" s="71" t="str">
        <f aca="false">IF(M17&lt;&gt;"",ROW()-5,"")</f>
        <v/>
      </c>
      <c r="J17" s="60"/>
      <c r="K17" s="60"/>
      <c r="L17" s="60"/>
      <c r="M17" s="70"/>
    </row>
    <row r="18" customFormat="false" ht="15.75" hidden="false" customHeight="true" outlineLevel="0" collapsed="false">
      <c r="A18" s="57" t="n">
        <v>13</v>
      </c>
      <c r="B18" s="67" t="s">
        <v>67</v>
      </c>
      <c r="C18" s="68" t="n">
        <v>3000</v>
      </c>
      <c r="D18" s="53" t="n">
        <f aca="false">SUMIF($K$6:$K$55,B18,$M$6:$M$55)</f>
        <v>0</v>
      </c>
      <c r="E18" s="53" t="n">
        <f aca="false">C18-D18</f>
        <v>3000</v>
      </c>
      <c r="F18" s="55" t="n">
        <f aca="false">IF(C18&gt;0,D18/C18,IF(D18&gt;0,1,0))</f>
        <v>0</v>
      </c>
      <c r="G18" s="57" t="str">
        <f aca="false">IF(C18=0,IF(D18&gt;0,"⚠ Unbudgeted","—"),IF(D18=0,"✦ Clear",IF(D18&lt;C18,"✔ OK","✖ Over")))</f>
        <v>✦ Clear</v>
      </c>
      <c r="I18" s="69" t="str">
        <f aca="false">IF(M18&lt;&gt;"",ROW()-5,"")</f>
        <v/>
      </c>
      <c r="J18" s="54"/>
      <c r="K18" s="54"/>
      <c r="L18" s="54"/>
      <c r="M18" s="68"/>
    </row>
    <row r="19" customFormat="false" ht="15.75" hidden="false" customHeight="true" outlineLevel="0" collapsed="false">
      <c r="A19" s="63" t="n">
        <v>14</v>
      </c>
      <c r="B19" s="27" t="s">
        <v>68</v>
      </c>
      <c r="C19" s="70" t="n">
        <v>3000</v>
      </c>
      <c r="D19" s="59" t="n">
        <f aca="false">SUMIF($K$6:$K$55,B19,$M$6:$M$55)</f>
        <v>0</v>
      </c>
      <c r="E19" s="59" t="n">
        <f aca="false">C19-D19</f>
        <v>3000</v>
      </c>
      <c r="F19" s="61" t="n">
        <f aca="false">IF(C19&gt;0,D19/C19,IF(D19&gt;0,1,0))</f>
        <v>0</v>
      </c>
      <c r="G19" s="63" t="str">
        <f aca="false">IF(C19=0,IF(D19&gt;0,"⚠ Unbudgeted","—"),IF(D19=0,"✦ Clear",IF(D19&lt;C19,"✔ OK","✖ Over")))</f>
        <v>✦ Clear</v>
      </c>
      <c r="I19" s="71" t="str">
        <f aca="false">IF(M19&lt;&gt;"",ROW()-5,"")</f>
        <v/>
      </c>
      <c r="J19" s="60"/>
      <c r="K19" s="60"/>
      <c r="L19" s="60"/>
      <c r="M19" s="70"/>
    </row>
    <row r="20" customFormat="false" ht="15.75" hidden="false" customHeight="true" outlineLevel="0" collapsed="false">
      <c r="A20" s="57" t="n">
        <v>15</v>
      </c>
      <c r="B20" s="67" t="s">
        <v>69</v>
      </c>
      <c r="C20" s="68" t="n">
        <v>2000</v>
      </c>
      <c r="D20" s="53" t="n">
        <f aca="false">SUMIF($K$6:$K$55,B20,$M$6:$M$55)</f>
        <v>0</v>
      </c>
      <c r="E20" s="53" t="n">
        <f aca="false">C20-D20</f>
        <v>2000</v>
      </c>
      <c r="F20" s="55" t="n">
        <f aca="false">IF(C20&gt;0,D20/C20,IF(D20&gt;0,1,0))</f>
        <v>0</v>
      </c>
      <c r="G20" s="57" t="str">
        <f aca="false">IF(C20=0,IF(D20&gt;0,"⚠ Unbudgeted","—"),IF(D20=0,"✦ Clear",IF(D20&lt;C20,"✔ OK","✖ Over")))</f>
        <v>✦ Clear</v>
      </c>
      <c r="I20" s="69" t="str">
        <f aca="false">IF(M20&lt;&gt;"",ROW()-5,"")</f>
        <v/>
      </c>
      <c r="J20" s="54"/>
      <c r="K20" s="54"/>
      <c r="L20" s="54"/>
      <c r="M20" s="68"/>
    </row>
    <row r="21" customFormat="false" ht="15.75" hidden="false" customHeight="true" outlineLevel="0" collapsed="false">
      <c r="A21" s="63" t="n">
        <v>16</v>
      </c>
      <c r="B21" s="27" t="s">
        <v>70</v>
      </c>
      <c r="C21" s="70" t="n">
        <v>0</v>
      </c>
      <c r="D21" s="59" t="n">
        <f aca="false">SUMIF($K$6:$K$55,B21,$M$6:$M$55)</f>
        <v>0</v>
      </c>
      <c r="E21" s="59" t="n">
        <f aca="false">C21-D21</f>
        <v>0</v>
      </c>
      <c r="F21" s="61" t="n">
        <f aca="false">IF(C21&gt;0,D21/C21,IF(D21&gt;0,1,0))</f>
        <v>0</v>
      </c>
      <c r="G21" s="63" t="str">
        <f aca="false">IF(C21=0,IF(D21&gt;0,"⚠ Unbudgeted","—"),IF(D21=0,"✦ Clear",IF(D21&lt;C21,"✔ OK","✖ Over")))</f>
        <v>—</v>
      </c>
      <c r="I21" s="71" t="str">
        <f aca="false">IF(M21&lt;&gt;"",ROW()-5,"")</f>
        <v/>
      </c>
      <c r="J21" s="60"/>
      <c r="K21" s="60"/>
      <c r="L21" s="60"/>
      <c r="M21" s="70"/>
    </row>
    <row r="22" customFormat="false" ht="15.75" hidden="false" customHeight="true" outlineLevel="0" collapsed="false">
      <c r="A22" s="72"/>
      <c r="B22" s="73" t="s">
        <v>71</v>
      </c>
      <c r="C22" s="74" t="n">
        <f aca="false">SUM(C6:C21)</f>
        <v>77000</v>
      </c>
      <c r="D22" s="74" t="n">
        <f aca="false">SUM(D6:D21)</f>
        <v>0</v>
      </c>
      <c r="E22" s="74" t="n">
        <f aca="false">SUM(E6:E21)</f>
        <v>77000</v>
      </c>
      <c r="F22" s="75" t="n">
        <f aca="false">IF(C22&gt;0,D22/C22,0)</f>
        <v>0</v>
      </c>
      <c r="G22" s="72"/>
      <c r="I22" s="69" t="str">
        <f aca="false">IF(M22&lt;&gt;"",ROW()-5,"")</f>
        <v/>
      </c>
      <c r="J22" s="54"/>
      <c r="K22" s="54"/>
      <c r="L22" s="54"/>
      <c r="M22" s="68"/>
    </row>
    <row r="23" customFormat="false" ht="15.75" hidden="false" customHeight="true" outlineLevel="0" collapsed="false">
      <c r="I23" s="71" t="str">
        <f aca="false">IF(M23&lt;&gt;"",ROW()-5,"")</f>
        <v/>
      </c>
      <c r="J23" s="60"/>
      <c r="K23" s="60"/>
      <c r="L23" s="60"/>
      <c r="M23" s="70"/>
    </row>
    <row r="24" customFormat="false" ht="15.75" hidden="false" customHeight="true" outlineLevel="0" collapsed="false">
      <c r="A24" s="76" t="s">
        <v>72</v>
      </c>
      <c r="B24" s="76"/>
      <c r="C24" s="76"/>
      <c r="D24" s="77" t="s">
        <v>73</v>
      </c>
      <c r="E24" s="77"/>
      <c r="F24" s="77"/>
      <c r="G24" s="77"/>
      <c r="I24" s="69" t="str">
        <f aca="false">IF(M24&lt;&gt;"",ROW()-5,"")</f>
        <v/>
      </c>
      <c r="J24" s="54"/>
      <c r="K24" s="54"/>
      <c r="L24" s="54"/>
      <c r="M24" s="68"/>
    </row>
    <row r="25" customFormat="false" ht="15.75" hidden="false" customHeight="true" outlineLevel="0" collapsed="false">
      <c r="A25" s="78" t="s">
        <v>46</v>
      </c>
      <c r="B25" s="78" t="s">
        <v>74</v>
      </c>
      <c r="C25" s="78"/>
      <c r="D25" s="66" t="s">
        <v>75</v>
      </c>
      <c r="E25" s="66" t="s">
        <v>76</v>
      </c>
      <c r="F25" s="66" t="s">
        <v>77</v>
      </c>
      <c r="G25" s="79"/>
      <c r="I25" s="71" t="str">
        <f aca="false">IF(M25&lt;&gt;"",ROW()-5,"")</f>
        <v/>
      </c>
      <c r="J25" s="60"/>
      <c r="K25" s="60"/>
      <c r="L25" s="60"/>
      <c r="M25" s="70"/>
    </row>
    <row r="26" customFormat="false" ht="15.75" hidden="false" customHeight="true" outlineLevel="0" collapsed="false">
      <c r="A26" s="57" t="n">
        <v>1</v>
      </c>
      <c r="B26" s="67" t="s">
        <v>78</v>
      </c>
      <c r="C26" s="67"/>
      <c r="D26" s="68" t="n">
        <v>0</v>
      </c>
      <c r="E26" s="60"/>
      <c r="F26" s="60"/>
      <c r="G26" s="60"/>
      <c r="I26" s="69" t="str">
        <f aca="false">IF(M26&lt;&gt;"",ROW()-5,"")</f>
        <v/>
      </c>
      <c r="J26" s="54"/>
      <c r="K26" s="54"/>
      <c r="L26" s="54"/>
      <c r="M26" s="68"/>
    </row>
    <row r="27" customFormat="false" ht="15.75" hidden="false" customHeight="true" outlineLevel="0" collapsed="false">
      <c r="A27" s="63" t="n">
        <v>2</v>
      </c>
      <c r="B27" s="27" t="s">
        <v>79</v>
      </c>
      <c r="C27" s="27"/>
      <c r="D27" s="70" t="n">
        <v>0</v>
      </c>
      <c r="E27" s="54"/>
      <c r="F27" s="54"/>
      <c r="G27" s="54"/>
      <c r="I27" s="71" t="str">
        <f aca="false">IF(M27&lt;&gt;"",ROW()-5,"")</f>
        <v/>
      </c>
      <c r="J27" s="60"/>
      <c r="K27" s="60"/>
      <c r="L27" s="60"/>
      <c r="M27" s="70"/>
    </row>
    <row r="28" customFormat="false" ht="15.75" hidden="false" customHeight="true" outlineLevel="0" collapsed="false">
      <c r="A28" s="57" t="n">
        <v>3</v>
      </c>
      <c r="B28" s="67" t="s">
        <v>66</v>
      </c>
      <c r="C28" s="67"/>
      <c r="D28" s="68" t="n">
        <v>0</v>
      </c>
      <c r="E28" s="60"/>
      <c r="F28" s="60"/>
      <c r="G28" s="60"/>
      <c r="I28" s="69" t="str">
        <f aca="false">IF(M28&lt;&gt;"",ROW()-5,"")</f>
        <v/>
      </c>
      <c r="J28" s="54"/>
      <c r="K28" s="54"/>
      <c r="L28" s="54"/>
      <c r="M28" s="68"/>
    </row>
    <row r="29" customFormat="false" ht="15.75" hidden="false" customHeight="true" outlineLevel="0" collapsed="false">
      <c r="A29" s="63" t="n">
        <v>4</v>
      </c>
      <c r="B29" s="27" t="s">
        <v>80</v>
      </c>
      <c r="C29" s="27"/>
      <c r="D29" s="70" t="n">
        <v>0</v>
      </c>
      <c r="E29" s="54"/>
      <c r="F29" s="54"/>
      <c r="G29" s="54"/>
      <c r="I29" s="71" t="str">
        <f aca="false">IF(M29&lt;&gt;"",ROW()-5,"")</f>
        <v/>
      </c>
      <c r="J29" s="60"/>
      <c r="K29" s="60"/>
      <c r="L29" s="60"/>
      <c r="M29" s="70"/>
    </row>
    <row r="30" customFormat="false" ht="15.75" hidden="false" customHeight="true" outlineLevel="0" collapsed="false">
      <c r="A30" s="8"/>
      <c r="B30" s="35" t="s">
        <v>81</v>
      </c>
      <c r="C30" s="35"/>
      <c r="D30" s="80" t="n">
        <f aca="false">SUM(D26:D29)</f>
        <v>0</v>
      </c>
      <c r="E30" s="60"/>
      <c r="F30" s="60"/>
      <c r="G30" s="60"/>
      <c r="I30" s="69" t="str">
        <f aca="false">IF(M30&lt;&gt;"",ROW()-5,"")</f>
        <v/>
      </c>
      <c r="J30" s="54"/>
      <c r="K30" s="54"/>
      <c r="L30" s="54"/>
      <c r="M30" s="68"/>
    </row>
    <row r="31" customFormat="false" ht="15.75" hidden="false" customHeight="true" outlineLevel="0" collapsed="false">
      <c r="D31" s="77" t="s">
        <v>73</v>
      </c>
      <c r="E31" s="77"/>
      <c r="F31" s="77"/>
      <c r="G31" s="77"/>
      <c r="I31" s="71" t="str">
        <f aca="false">IF(M31&lt;&gt;"",ROW()-5,"")</f>
        <v/>
      </c>
      <c r="J31" s="60"/>
      <c r="K31" s="60"/>
      <c r="L31" s="60"/>
      <c r="M31" s="70"/>
    </row>
    <row r="32" customFormat="false" ht="15.75" hidden="false" customHeight="true" outlineLevel="0" collapsed="false">
      <c r="D32" s="81" t="s">
        <v>82</v>
      </c>
      <c r="E32" s="81"/>
      <c r="F32" s="81"/>
      <c r="G32" s="82" t="n">
        <f aca="false">D30</f>
        <v>0</v>
      </c>
      <c r="I32" s="69" t="str">
        <f aca="false">IF(M32&lt;&gt;"",ROW()-5,"")</f>
        <v/>
      </c>
      <c r="J32" s="54"/>
      <c r="K32" s="54"/>
      <c r="L32" s="54"/>
      <c r="M32" s="68"/>
    </row>
    <row r="33" customFormat="false" ht="15.75" hidden="false" customHeight="true" outlineLevel="0" collapsed="false">
      <c r="D33" s="83" t="s">
        <v>83</v>
      </c>
      <c r="E33" s="83"/>
      <c r="F33" s="83"/>
      <c r="G33" s="84" t="n">
        <f aca="false">D22</f>
        <v>0</v>
      </c>
      <c r="I33" s="71" t="str">
        <f aca="false">IF(M33&lt;&gt;"",ROW()-5,"")</f>
        <v/>
      </c>
      <c r="J33" s="60"/>
      <c r="K33" s="60"/>
      <c r="L33" s="60"/>
      <c r="M33" s="70"/>
    </row>
    <row r="34" customFormat="false" ht="15.75" hidden="false" customHeight="true" outlineLevel="0" collapsed="false">
      <c r="D34" s="85" t="s">
        <v>84</v>
      </c>
      <c r="E34" s="85"/>
      <c r="F34" s="85"/>
      <c r="G34" s="86" t="n">
        <f aca="false">D30-D22</f>
        <v>0</v>
      </c>
      <c r="I34" s="69" t="str">
        <f aca="false">IF(M34&lt;&gt;"",ROW()-5,"")</f>
        <v/>
      </c>
      <c r="J34" s="54"/>
      <c r="K34" s="54"/>
      <c r="L34" s="54"/>
      <c r="M34" s="68"/>
    </row>
    <row r="35" customFormat="false" ht="15.75" hidden="false" customHeight="true" outlineLevel="0" collapsed="false">
      <c r="D35" s="87" t="s">
        <v>85</v>
      </c>
      <c r="E35" s="87"/>
      <c r="F35" s="87"/>
      <c r="G35" s="88" t="n">
        <f aca="false">IF(D30&gt;0,(D30-D22)/D30,0)</f>
        <v>0</v>
      </c>
      <c r="I35" s="71" t="str">
        <f aca="false">IF(M35&lt;&gt;"",ROW()-5,"")</f>
        <v/>
      </c>
      <c r="J35" s="60"/>
      <c r="K35" s="60"/>
      <c r="L35" s="60"/>
      <c r="M35" s="70"/>
    </row>
    <row r="36" customFormat="false" ht="15.75" hidden="false" customHeight="true" outlineLevel="0" collapsed="false">
      <c r="D36" s="58" t="s">
        <v>86</v>
      </c>
      <c r="E36" s="58"/>
      <c r="F36" s="58"/>
      <c r="G36" s="89" t="n">
        <v>0</v>
      </c>
      <c r="I36" s="69" t="str">
        <f aca="false">IF(M36&lt;&gt;"",ROW()-5,"")</f>
        <v/>
      </c>
      <c r="J36" s="54"/>
      <c r="K36" s="54"/>
      <c r="L36" s="54"/>
      <c r="M36" s="68"/>
    </row>
    <row r="37" customFormat="false" ht="15.75" hidden="false" customHeight="true" outlineLevel="0" collapsed="false">
      <c r="D37" s="90" t="s">
        <v>87</v>
      </c>
      <c r="E37" s="90"/>
      <c r="F37" s="90"/>
      <c r="G37" s="91" t="n">
        <f aca="false">G34-G36</f>
        <v>0</v>
      </c>
      <c r="I37" s="71" t="str">
        <f aca="false">IF(M37&lt;&gt;"",ROW()-5,"")</f>
        <v/>
      </c>
      <c r="J37" s="60"/>
      <c r="K37" s="60"/>
      <c r="L37" s="60"/>
      <c r="M37" s="70"/>
    </row>
    <row r="38" customFormat="false" ht="15.75" hidden="false" customHeight="true" outlineLevel="0" collapsed="false">
      <c r="I38" s="69" t="str">
        <f aca="false">IF(M38&lt;&gt;"",ROW()-5,"")</f>
        <v/>
      </c>
      <c r="J38" s="54"/>
      <c r="K38" s="54"/>
      <c r="L38" s="54"/>
      <c r="M38" s="68"/>
    </row>
    <row r="39" customFormat="false" ht="15.75" hidden="false" customHeight="true" outlineLevel="0" collapsed="false">
      <c r="I39" s="71" t="str">
        <f aca="false">IF(M39&lt;&gt;"",ROW()-5,"")</f>
        <v/>
      </c>
      <c r="J39" s="60"/>
      <c r="K39" s="60"/>
      <c r="L39" s="60"/>
      <c r="M39" s="70"/>
    </row>
    <row r="40" customFormat="false" ht="15.75" hidden="false" customHeight="true" outlineLevel="0" collapsed="false">
      <c r="I40" s="69" t="str">
        <f aca="false">IF(M40&lt;&gt;"",ROW()-5,"")</f>
        <v/>
      </c>
      <c r="J40" s="54"/>
      <c r="K40" s="54"/>
      <c r="L40" s="54"/>
      <c r="M40" s="68"/>
    </row>
    <row r="41" customFormat="false" ht="15.75" hidden="false" customHeight="true" outlineLevel="0" collapsed="false">
      <c r="I41" s="71" t="str">
        <f aca="false">IF(M41&lt;&gt;"",ROW()-5,"")</f>
        <v/>
      </c>
      <c r="J41" s="60"/>
      <c r="K41" s="60"/>
      <c r="L41" s="60"/>
      <c r="M41" s="70"/>
    </row>
    <row r="42" customFormat="false" ht="15.75" hidden="false" customHeight="true" outlineLevel="0" collapsed="false">
      <c r="I42" s="69" t="str">
        <f aca="false">IF(M42&lt;&gt;"",ROW()-5,"")</f>
        <v/>
      </c>
      <c r="J42" s="54"/>
      <c r="K42" s="54"/>
      <c r="L42" s="54"/>
      <c r="M42" s="68"/>
    </row>
    <row r="43" customFormat="false" ht="15.75" hidden="false" customHeight="true" outlineLevel="0" collapsed="false">
      <c r="I43" s="71" t="str">
        <f aca="false">IF(M43&lt;&gt;"",ROW()-5,"")</f>
        <v/>
      </c>
      <c r="J43" s="60"/>
      <c r="K43" s="60"/>
      <c r="L43" s="60"/>
      <c r="M43" s="70"/>
    </row>
    <row r="44" customFormat="false" ht="15.75" hidden="false" customHeight="true" outlineLevel="0" collapsed="false">
      <c r="I44" s="69" t="str">
        <f aca="false">IF(M44&lt;&gt;"",ROW()-5,"")</f>
        <v/>
      </c>
      <c r="J44" s="54"/>
      <c r="K44" s="54"/>
      <c r="L44" s="54"/>
      <c r="M44" s="68"/>
    </row>
    <row r="45" customFormat="false" ht="15.75" hidden="false" customHeight="true" outlineLevel="0" collapsed="false">
      <c r="I45" s="71" t="str">
        <f aca="false">IF(M45&lt;&gt;"",ROW()-5,"")</f>
        <v/>
      </c>
      <c r="J45" s="60"/>
      <c r="K45" s="60"/>
      <c r="L45" s="60"/>
      <c r="M45" s="70"/>
    </row>
    <row r="46" customFormat="false" ht="15.75" hidden="false" customHeight="true" outlineLevel="0" collapsed="false">
      <c r="I46" s="69" t="str">
        <f aca="false">IF(M46&lt;&gt;"",ROW()-5,"")</f>
        <v/>
      </c>
      <c r="J46" s="54"/>
      <c r="K46" s="54"/>
      <c r="L46" s="54"/>
      <c r="M46" s="68"/>
    </row>
    <row r="47" customFormat="false" ht="15.75" hidden="false" customHeight="true" outlineLevel="0" collapsed="false">
      <c r="I47" s="71" t="str">
        <f aca="false">IF(M47&lt;&gt;"",ROW()-5,"")</f>
        <v/>
      </c>
      <c r="J47" s="60"/>
      <c r="K47" s="60"/>
      <c r="L47" s="60"/>
      <c r="M47" s="70"/>
    </row>
    <row r="48" customFormat="false" ht="15.75" hidden="false" customHeight="true" outlineLevel="0" collapsed="false">
      <c r="I48" s="69" t="str">
        <f aca="false">IF(M48&lt;&gt;"",ROW()-5,"")</f>
        <v/>
      </c>
      <c r="J48" s="54"/>
      <c r="K48" s="54"/>
      <c r="L48" s="54"/>
      <c r="M48" s="68"/>
    </row>
    <row r="49" customFormat="false" ht="15.75" hidden="false" customHeight="true" outlineLevel="0" collapsed="false">
      <c r="I49" s="71" t="str">
        <f aca="false">IF(M49&lt;&gt;"",ROW()-5,"")</f>
        <v/>
      </c>
      <c r="J49" s="60"/>
      <c r="K49" s="60"/>
      <c r="L49" s="60"/>
      <c r="M49" s="70"/>
    </row>
    <row r="50" customFormat="false" ht="15.75" hidden="false" customHeight="true" outlineLevel="0" collapsed="false">
      <c r="I50" s="69" t="str">
        <f aca="false">IF(M50&lt;&gt;"",ROW()-5,"")</f>
        <v/>
      </c>
      <c r="J50" s="54"/>
      <c r="K50" s="54"/>
      <c r="L50" s="54"/>
      <c r="M50" s="68"/>
    </row>
    <row r="51" customFormat="false" ht="15.75" hidden="false" customHeight="true" outlineLevel="0" collapsed="false">
      <c r="I51" s="71" t="str">
        <f aca="false">IF(M51&lt;&gt;"",ROW()-5,"")</f>
        <v/>
      </c>
      <c r="J51" s="60"/>
      <c r="K51" s="60"/>
      <c r="L51" s="60"/>
      <c r="M51" s="70"/>
    </row>
    <row r="52" customFormat="false" ht="15.75" hidden="false" customHeight="true" outlineLevel="0" collapsed="false">
      <c r="I52" s="69" t="str">
        <f aca="false">IF(M52&lt;&gt;"",ROW()-5,"")</f>
        <v/>
      </c>
      <c r="J52" s="54"/>
      <c r="K52" s="54"/>
      <c r="L52" s="54"/>
      <c r="M52" s="68"/>
    </row>
    <row r="53" customFormat="false" ht="15.75" hidden="false" customHeight="true" outlineLevel="0" collapsed="false">
      <c r="I53" s="71" t="str">
        <f aca="false">IF(M53&lt;&gt;"",ROW()-5,"")</f>
        <v/>
      </c>
      <c r="J53" s="60"/>
      <c r="K53" s="60"/>
      <c r="L53" s="60"/>
      <c r="M53" s="70"/>
    </row>
    <row r="54" customFormat="false" ht="15.75" hidden="false" customHeight="true" outlineLevel="0" collapsed="false">
      <c r="I54" s="69" t="str">
        <f aca="false">IF(M54&lt;&gt;"",ROW()-5,"")</f>
        <v/>
      </c>
      <c r="J54" s="54"/>
      <c r="K54" s="54"/>
      <c r="L54" s="54"/>
      <c r="M54" s="68"/>
    </row>
    <row r="55" customFormat="false" ht="15.75" hidden="false" customHeight="true" outlineLevel="0" collapsed="false">
      <c r="I55" s="71" t="str">
        <f aca="false">IF(M55&lt;&gt;"",ROW()-5,"")</f>
        <v/>
      </c>
      <c r="J55" s="60"/>
      <c r="K55" s="60"/>
      <c r="L55" s="60"/>
      <c r="M55" s="70"/>
    </row>
    <row r="56" customFormat="false" ht="18" hidden="false" customHeight="true" outlineLevel="0" collapsed="false">
      <c r="I56" s="73" t="s">
        <v>88</v>
      </c>
      <c r="J56" s="73"/>
      <c r="K56" s="73"/>
      <c r="L56" s="73"/>
      <c r="M56" s="74" t="n">
        <f aca="false">SUM(M6:M55)</f>
        <v>0</v>
      </c>
    </row>
  </sheetData>
  <mergeCells count="19">
    <mergeCell ref="A2:M2"/>
    <mergeCell ref="A4:G4"/>
    <mergeCell ref="I4:M4"/>
    <mergeCell ref="A24:C24"/>
    <mergeCell ref="D24:G24"/>
    <mergeCell ref="B25:C25"/>
    <mergeCell ref="B26:C26"/>
    <mergeCell ref="B27:C27"/>
    <mergeCell ref="B28:C28"/>
    <mergeCell ref="B29:C29"/>
    <mergeCell ref="B30:C30"/>
    <mergeCell ref="D31:G31"/>
    <mergeCell ref="D32:F32"/>
    <mergeCell ref="D33:F33"/>
    <mergeCell ref="D34:F34"/>
    <mergeCell ref="D35:F35"/>
    <mergeCell ref="D36:F36"/>
    <mergeCell ref="D37:F37"/>
    <mergeCell ref="I56:L56"/>
  </mergeCells>
  <conditionalFormatting sqref="G6:G21">
    <cfRule type="expression" priority="2" aboveAverage="0" equalAverage="0" bottom="0" percent="0" rank="0" text="" dxfId="0">
      <formula>G6="✖ Over"</formula>
    </cfRule>
    <cfRule type="expression" priority="3" aboveAverage="0" equalAverage="0" bottom="0" percent="0" rank="0" text="" dxfId="1">
      <formula>G6="✔ OK"</formula>
    </cfRule>
    <cfRule type="expression" priority="4" aboveAverage="0" equalAverage="0" bottom="0" percent="0" rank="0" text="" dxfId="2">
      <formula>G6="⚠ Unbudgeted"</formula>
    </cfRule>
  </conditionalFormatting>
  <conditionalFormatting sqref="E6:E21">
    <cfRule type="expression" priority="5" aboveAverage="0" equalAverage="0" bottom="0" percent="0" rank="0" text="" dxfId="0">
      <formula>E6&lt;0</formula>
    </cfRule>
  </conditionalFormatting>
  <dataValidations count="1">
    <dataValidation allowBlank="true" errorStyle="stop" operator="between" showDropDown="false" showErrorMessage="false" showInputMessage="false" sqref="K6:K55" type="list">
      <formula1>"Car Maintenance,Grocery,Petrol,Daily,Order Out,Clothes,Items,Mobile,Events / Activities,Daily Lunch,Optical Expense,Miscellaneous,Uber,Gym,Charity,Loan Payment"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527A0"/>
    <pageSetUpPr fitToPage="false"/>
  </sheetPr>
  <dimension ref="A1:J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6"/>
    <col collapsed="false" customWidth="true" hidden="false" outlineLevel="0" max="9" min="3" style="1" width="16"/>
    <col collapsed="false" customWidth="true" hidden="false" outlineLevel="0" max="10" min="10" style="1" width="18"/>
  </cols>
  <sheetData>
    <row r="1" customFormat="false" ht="7.5" hidden="false" customHeight="true" outlineLevel="0" collapsed="false"/>
    <row r="2" customFormat="false" ht="30" hidden="false" customHeight="true" outlineLevel="0" collapsed="false">
      <c r="A2" s="92" t="s">
        <v>89</v>
      </c>
      <c r="B2" s="92"/>
      <c r="C2" s="92"/>
      <c r="D2" s="92"/>
      <c r="E2" s="92"/>
      <c r="F2" s="92"/>
      <c r="G2" s="92"/>
      <c r="H2" s="92"/>
      <c r="I2" s="92"/>
      <c r="J2" s="92"/>
    </row>
    <row r="3" customFormat="false" ht="7.5" hidden="false" customHeight="true" outlineLevel="0" collapsed="false"/>
    <row r="4" customFormat="false" ht="21.75" hidden="false" customHeight="true" outlineLevel="0" collapsed="false">
      <c r="A4" s="93" t="s">
        <v>90</v>
      </c>
      <c r="B4" s="93"/>
      <c r="C4" s="93"/>
      <c r="D4" s="93"/>
      <c r="E4" s="94" t="n">
        <v>0</v>
      </c>
      <c r="F4" s="40"/>
      <c r="G4" s="40"/>
      <c r="H4" s="40"/>
      <c r="I4" s="40"/>
      <c r="J4" s="40"/>
    </row>
    <row r="5" customFormat="false" ht="19.5" hidden="false" customHeight="true" outlineLevel="0" collapsed="false">
      <c r="A5" s="50" t="s">
        <v>46</v>
      </c>
      <c r="B5" s="50" t="s">
        <v>91</v>
      </c>
      <c r="C5" s="50" t="s">
        <v>92</v>
      </c>
      <c r="D5" s="50" t="s">
        <v>93</v>
      </c>
      <c r="E5" s="50" t="s">
        <v>50</v>
      </c>
      <c r="F5" s="50" t="s">
        <v>94</v>
      </c>
      <c r="G5" s="50" t="s">
        <v>34</v>
      </c>
      <c r="H5" s="50" t="s">
        <v>35</v>
      </c>
      <c r="I5" s="50" t="s">
        <v>95</v>
      </c>
      <c r="J5" s="50" t="s">
        <v>96</v>
      </c>
    </row>
    <row r="6" customFormat="false" ht="18" hidden="false" customHeight="true" outlineLevel="0" collapsed="false">
      <c r="A6" s="57" t="n">
        <v>1</v>
      </c>
      <c r="B6" s="67" t="s">
        <v>37</v>
      </c>
      <c r="C6" s="68" t="n">
        <v>70000</v>
      </c>
      <c r="D6" s="68" t="n">
        <v>0</v>
      </c>
      <c r="E6" s="53" t="n">
        <f aca="false">C6-D6</f>
        <v>70000</v>
      </c>
      <c r="F6" s="53" t="n">
        <f aca="true">IF(AND(H6&lt;&gt;"",H6&gt;TODAY(),E6&gt;0),E6/MAX(1,(H6-TODAY())/30.4),"-")</f>
        <v>9716.89497716895</v>
      </c>
      <c r="G6" s="55" t="n">
        <f aca="false">IF(C6&gt;0,D6/C6,0)</f>
        <v>0</v>
      </c>
      <c r="H6" s="95" t="n">
        <v>46387</v>
      </c>
      <c r="I6" s="57" t="n">
        <f aca="true">IF(H6&gt;TODAY(),INT((H6-TODAY())/30.4),"Overdue")</f>
        <v>7</v>
      </c>
      <c r="J6" s="96" t="s">
        <v>23</v>
      </c>
    </row>
    <row r="7" customFormat="false" ht="18" hidden="false" customHeight="true" outlineLevel="0" collapsed="false">
      <c r="A7" s="63" t="n">
        <v>2</v>
      </c>
      <c r="B7" s="27" t="s">
        <v>38</v>
      </c>
      <c r="C7" s="70" t="n">
        <v>30000</v>
      </c>
      <c r="D7" s="70" t="n">
        <v>0</v>
      </c>
      <c r="E7" s="59" t="n">
        <f aca="false">C7-D7</f>
        <v>30000</v>
      </c>
      <c r="F7" s="59" t="n">
        <f aca="true">IF(AND(H7&lt;&gt;"",H7&gt;TODAY(),E7&gt;0),E7/MAX(1,(H7-TODAY())/30.4),"-")</f>
        <v>7181.10236220472</v>
      </c>
      <c r="G7" s="61" t="n">
        <f aca="false">IF(C7&gt;0,D7/C7,0)</f>
        <v>0</v>
      </c>
      <c r="H7" s="97" t="n">
        <v>46295</v>
      </c>
      <c r="I7" s="63" t="n">
        <f aca="true">IF(H7&gt;TODAY(),INT((H7-TODAY())/30.4),"Overdue")</f>
        <v>4</v>
      </c>
      <c r="J7" s="98" t="s">
        <v>23</v>
      </c>
    </row>
    <row r="8" customFormat="false" ht="18" hidden="false" customHeight="true" outlineLevel="0" collapsed="false">
      <c r="A8" s="57" t="n">
        <v>3</v>
      </c>
      <c r="B8" s="67" t="s">
        <v>39</v>
      </c>
      <c r="C8" s="68" t="n">
        <v>25000</v>
      </c>
      <c r="D8" s="68" t="n">
        <v>0</v>
      </c>
      <c r="E8" s="53" t="n">
        <f aca="false">C8-D8</f>
        <v>25000</v>
      </c>
      <c r="F8" s="53" t="n">
        <f aca="true">IF(AND(H8&lt;&gt;"",H8&gt;TODAY(),E8&gt;0),E8/MAX(1,(H8-TODAY())/30.4),"-")</f>
        <v>4810.12658227848</v>
      </c>
      <c r="G8" s="55" t="n">
        <f aca="false">IF(C8&gt;0,D8/C8,0)</f>
        <v>0</v>
      </c>
      <c r="H8" s="95" t="n">
        <v>46326</v>
      </c>
      <c r="I8" s="57" t="n">
        <f aca="true">IF(H8&gt;TODAY(),INT((H8-TODAY())/30.4),"Overdue")</f>
        <v>5</v>
      </c>
      <c r="J8" s="96" t="s">
        <v>23</v>
      </c>
    </row>
    <row r="9" customFormat="false" ht="18" hidden="false" customHeight="true" outlineLevel="0" collapsed="false">
      <c r="A9" s="63" t="n">
        <v>4</v>
      </c>
      <c r="B9" s="27" t="s">
        <v>40</v>
      </c>
      <c r="C9" s="70" t="n">
        <v>70000</v>
      </c>
      <c r="D9" s="70" t="n">
        <v>0</v>
      </c>
      <c r="E9" s="59" t="n">
        <f aca="false">C9-D9</f>
        <v>70000</v>
      </c>
      <c r="F9" s="59" t="n">
        <f aca="true">IF(AND(H9&lt;&gt;"",H9&gt;TODAY(),E9&gt;0),E9/MAX(1,(H9-TODAY())/30.4),"-")</f>
        <v>6886.73139158576</v>
      </c>
      <c r="G9" s="61" t="n">
        <f aca="false">IF(C9&gt;0,D9/C9,0)</f>
        <v>0</v>
      </c>
      <c r="H9" s="97" t="n">
        <v>46477</v>
      </c>
      <c r="I9" s="63" t="n">
        <f aca="true">IF(H9&gt;TODAY(),INT((H9-TODAY())/30.4),"Overdue")</f>
        <v>10</v>
      </c>
      <c r="J9" s="98" t="s">
        <v>23</v>
      </c>
    </row>
    <row r="10" customFormat="false" ht="18" hidden="false" customHeight="true" outlineLevel="0" collapsed="false">
      <c r="A10" s="57" t="n">
        <v>5</v>
      </c>
      <c r="B10" s="67" t="s">
        <v>41</v>
      </c>
      <c r="C10" s="68" t="n">
        <v>40000</v>
      </c>
      <c r="D10" s="68" t="n">
        <v>0</v>
      </c>
      <c r="E10" s="53" t="n">
        <f aca="false">C10-D10</f>
        <v>40000</v>
      </c>
      <c r="F10" s="53" t="n">
        <f aca="true">IF(AND(H10&lt;&gt;"",H10&gt;TODAY(),E10&gt;0),E10/MAX(1,(H10-TODAY())/30.4),"-")</f>
        <v>5552.51141552511</v>
      </c>
      <c r="G10" s="55" t="n">
        <f aca="false">IF(C10&gt;0,D10/C10,0)</f>
        <v>0</v>
      </c>
      <c r="H10" s="95" t="n">
        <v>46387</v>
      </c>
      <c r="I10" s="57" t="n">
        <f aca="true">IF(H10&gt;TODAY(),INT((H10-TODAY())/30.4),"Overdue")</f>
        <v>7</v>
      </c>
      <c r="J10" s="96" t="s">
        <v>23</v>
      </c>
    </row>
    <row r="11" customFormat="false" ht="18" hidden="false" customHeight="true" outlineLevel="0" collapsed="false">
      <c r="A11" s="63" t="n">
        <v>6</v>
      </c>
      <c r="B11" s="27" t="s">
        <v>42</v>
      </c>
      <c r="C11" s="70" t="n">
        <v>200000</v>
      </c>
      <c r="D11" s="70" t="n">
        <v>0</v>
      </c>
      <c r="E11" s="59" t="n">
        <f aca="false">C11-D11</f>
        <v>200000</v>
      </c>
      <c r="F11" s="59" t="n">
        <f aca="true">IF(AND(H11&lt;&gt;"",H11&gt;TODAY(),E11&gt;0),E11/MAX(1,(H11-TODAY())/30.4),"-")</f>
        <v>15200</v>
      </c>
      <c r="G11" s="61" t="n">
        <f aca="false">IF(C11&gt;0,D11/C11,0)</f>
        <v>0</v>
      </c>
      <c r="H11" s="97" t="n">
        <v>46568</v>
      </c>
      <c r="I11" s="63" t="n">
        <f aca="true">IF(H11&gt;TODAY(),INT((H11-TODAY())/30.4),"Overdue")</f>
        <v>13</v>
      </c>
      <c r="J11" s="98" t="s">
        <v>23</v>
      </c>
    </row>
    <row r="12" customFormat="false" ht="18" hidden="false" customHeight="true" outlineLevel="0" collapsed="false">
      <c r="A12" s="51"/>
      <c r="B12" s="99" t="s">
        <v>97</v>
      </c>
      <c r="C12" s="100" t="n">
        <f aca="false">SUM(C6:C11)</f>
        <v>435000</v>
      </c>
      <c r="D12" s="100" t="n">
        <f aca="false">SUM(D6:D11)</f>
        <v>0</v>
      </c>
      <c r="E12" s="100" t="n">
        <f aca="false">SUM(E6:E11)</f>
        <v>435000</v>
      </c>
      <c r="F12" s="100" t="n">
        <f aca="false">SUM(F6:F11)</f>
        <v>49347.366728763</v>
      </c>
      <c r="G12" s="101" t="n">
        <f aca="false">IF(C12&gt;0,D12/C12,0)</f>
        <v>0</v>
      </c>
      <c r="H12" s="51"/>
      <c r="I12" s="51"/>
      <c r="J12" s="51"/>
    </row>
    <row r="14" customFormat="false" ht="21.75" hidden="false" customHeight="true" outlineLevel="0" collapsed="false">
      <c r="A14" s="77" t="s">
        <v>98</v>
      </c>
      <c r="B14" s="77"/>
      <c r="C14" s="77"/>
      <c r="D14" s="77"/>
      <c r="E14" s="77"/>
      <c r="F14" s="77"/>
      <c r="G14" s="77"/>
      <c r="H14" s="77"/>
      <c r="I14" s="77"/>
      <c r="J14" s="77"/>
    </row>
    <row r="15" customFormat="false" ht="15.75" hidden="false" customHeight="true" outlineLevel="0" collapsed="false">
      <c r="A15" s="102" t="s">
        <v>99</v>
      </c>
      <c r="B15" s="102"/>
      <c r="C15" s="102"/>
      <c r="D15" s="102"/>
      <c r="E15" s="102"/>
      <c r="F15" s="102"/>
      <c r="G15" s="102"/>
      <c r="H15" s="102"/>
      <c r="I15" s="102"/>
      <c r="J15" s="102"/>
    </row>
    <row r="16" customFormat="false" ht="15.75" hidden="false" customHeight="true" outlineLevel="0" collapsed="false">
      <c r="A16" s="102" t="s">
        <v>100</v>
      </c>
      <c r="B16" s="102"/>
      <c r="C16" s="102"/>
      <c r="D16" s="102"/>
      <c r="E16" s="102"/>
      <c r="F16" s="102"/>
      <c r="G16" s="102"/>
      <c r="H16" s="102"/>
      <c r="I16" s="102"/>
      <c r="J16" s="102"/>
    </row>
    <row r="17" customFormat="false" ht="15.75" hidden="false" customHeight="true" outlineLevel="0" collapsed="false">
      <c r="A17" s="102" t="s">
        <v>101</v>
      </c>
      <c r="B17" s="102"/>
      <c r="C17" s="102"/>
      <c r="D17" s="102"/>
      <c r="E17" s="102"/>
      <c r="F17" s="102"/>
      <c r="G17" s="102"/>
      <c r="H17" s="102"/>
      <c r="I17" s="102"/>
      <c r="J17" s="102"/>
    </row>
    <row r="18" customFormat="false" ht="15.75" hidden="false" customHeight="true" outlineLevel="0" collapsed="false">
      <c r="A18" s="102" t="s">
        <v>102</v>
      </c>
      <c r="B18" s="102"/>
      <c r="C18" s="102"/>
      <c r="D18" s="102"/>
      <c r="E18" s="102"/>
      <c r="F18" s="102"/>
      <c r="G18" s="102"/>
      <c r="H18" s="102"/>
      <c r="I18" s="102"/>
      <c r="J18" s="102"/>
    </row>
    <row r="19" customFormat="false" ht="15.75" hidden="false" customHeight="true" outlineLevel="0" collapsed="false">
      <c r="A19" s="102" t="s">
        <v>103</v>
      </c>
      <c r="B19" s="102"/>
      <c r="C19" s="102"/>
      <c r="D19" s="102"/>
      <c r="E19" s="102"/>
      <c r="F19" s="102"/>
      <c r="G19" s="102"/>
      <c r="H19" s="102"/>
      <c r="I19" s="102"/>
      <c r="J19" s="102"/>
    </row>
  </sheetData>
  <mergeCells count="8">
    <mergeCell ref="A2:J2"/>
    <mergeCell ref="A4:D4"/>
    <mergeCell ref="A14:J14"/>
    <mergeCell ref="A15:J15"/>
    <mergeCell ref="A16:J16"/>
    <mergeCell ref="A17:J17"/>
    <mergeCell ref="A18:J18"/>
    <mergeCell ref="A19:J19"/>
  </mergeCells>
  <conditionalFormatting sqref="G6:G11">
    <cfRule type="colorScale" priority="2">
      <colorScale>
        <cfvo type="num" val="0"/>
        <cfvo type="num" val="0.5"/>
        <cfvo type="num" val="1"/>
        <color rgb="FFFFE7E7"/>
        <color rgb="FFFFF2CC"/>
        <color rgb="FFE2EFDA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695C"/>
    <pageSetUpPr fitToPage="false"/>
  </sheetPr>
  <dimension ref="A1:G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2"/>
    <col collapsed="false" customWidth="true" hidden="false" outlineLevel="0" max="3" min="3" style="1" width="18"/>
    <col collapsed="false" customWidth="true" hidden="false" outlineLevel="0" max="4" min="4" style="1" width="14"/>
    <col collapsed="false" customWidth="true" hidden="false" outlineLevel="0" max="5" min="5" style="1" width="28"/>
    <col collapsed="false" customWidth="true" hidden="false" outlineLevel="0" max="6" min="6" style="1" width="18"/>
    <col collapsed="false" customWidth="true" hidden="false" outlineLevel="0" max="7" min="7" style="1" width="28"/>
  </cols>
  <sheetData>
    <row r="1" customFormat="false" ht="7.5" hidden="false" customHeight="true" outlineLevel="0" collapsed="false"/>
    <row r="2" customFormat="false" ht="30" hidden="false" customHeight="true" outlineLevel="0" collapsed="false">
      <c r="A2" s="103" t="s">
        <v>104</v>
      </c>
      <c r="B2" s="103"/>
      <c r="C2" s="103"/>
      <c r="D2" s="103"/>
      <c r="E2" s="103"/>
      <c r="F2" s="103"/>
      <c r="G2" s="103"/>
    </row>
    <row r="3" customFormat="false" ht="7.5" hidden="false" customHeight="true" outlineLevel="0" collapsed="false"/>
    <row r="4" customFormat="false" ht="24" hidden="false" customHeight="true" outlineLevel="0" collapsed="false">
      <c r="A4" s="104" t="s">
        <v>105</v>
      </c>
      <c r="B4" s="104"/>
      <c r="C4" s="104"/>
      <c r="D4" s="104"/>
      <c r="E4" s="104"/>
      <c r="F4" s="105" t="n">
        <f aca="false">SUM(F8:F20)</f>
        <v>0</v>
      </c>
      <c r="G4" s="32"/>
    </row>
    <row r="6" customFormat="false" ht="21.75" hidden="false" customHeight="true" outlineLevel="0" collapsed="false">
      <c r="A6" s="28" t="s">
        <v>106</v>
      </c>
      <c r="B6" s="28"/>
      <c r="C6" s="28"/>
      <c r="D6" s="28"/>
      <c r="E6" s="28"/>
      <c r="F6" s="28"/>
      <c r="G6" s="28"/>
    </row>
    <row r="7" customFormat="false" ht="18" hidden="false" customHeight="true" outlineLevel="0" collapsed="false">
      <c r="A7" s="29" t="s">
        <v>46</v>
      </c>
      <c r="B7" s="29" t="s">
        <v>107</v>
      </c>
      <c r="C7" s="29" t="s">
        <v>11</v>
      </c>
      <c r="D7" s="29" t="s">
        <v>14</v>
      </c>
      <c r="E7" s="29" t="s">
        <v>12</v>
      </c>
      <c r="F7" s="29" t="s">
        <v>13</v>
      </c>
      <c r="G7" s="29" t="s">
        <v>108</v>
      </c>
    </row>
    <row r="8" customFormat="false" ht="21.75" hidden="false" customHeight="true" outlineLevel="0" collapsed="false">
      <c r="A8" s="106" t="n">
        <v>1</v>
      </c>
      <c r="B8" s="31" t="s">
        <v>15</v>
      </c>
      <c r="C8" s="20" t="s">
        <v>16</v>
      </c>
      <c r="D8" s="106" t="s">
        <v>18</v>
      </c>
      <c r="E8" s="20" t="s">
        <v>17</v>
      </c>
      <c r="F8" s="107" t="n">
        <v>0</v>
      </c>
      <c r="G8" s="108" t="s">
        <v>109</v>
      </c>
    </row>
    <row r="9" customFormat="false" ht="21.75" hidden="false" customHeight="true" outlineLevel="0" collapsed="false">
      <c r="A9" s="109" t="n">
        <v>2</v>
      </c>
      <c r="B9" s="35" t="s">
        <v>19</v>
      </c>
      <c r="C9" s="8" t="s">
        <v>20</v>
      </c>
      <c r="D9" s="109" t="s">
        <v>22</v>
      </c>
      <c r="E9" s="8" t="s">
        <v>21</v>
      </c>
      <c r="F9" s="110" t="n">
        <v>0</v>
      </c>
      <c r="G9" s="111" t="s">
        <v>110</v>
      </c>
    </row>
    <row r="10" customFormat="false" ht="21.75" hidden="false" customHeight="true" outlineLevel="0" collapsed="false">
      <c r="A10" s="112" t="n">
        <v>3</v>
      </c>
      <c r="B10" s="39" t="s">
        <v>23</v>
      </c>
      <c r="C10" s="21" t="s">
        <v>20</v>
      </c>
      <c r="D10" s="112" t="s">
        <v>25</v>
      </c>
      <c r="E10" s="21" t="s">
        <v>24</v>
      </c>
      <c r="F10" s="113" t="n">
        <v>0</v>
      </c>
      <c r="G10" s="114" t="s">
        <v>111</v>
      </c>
    </row>
    <row r="11" customFormat="false" ht="21.75" hidden="false" customHeight="true" outlineLevel="0" collapsed="false">
      <c r="A11" s="115" t="n">
        <v>4</v>
      </c>
      <c r="B11" s="43" t="s">
        <v>26</v>
      </c>
      <c r="C11" s="15" t="s">
        <v>27</v>
      </c>
      <c r="D11" s="115" t="s">
        <v>22</v>
      </c>
      <c r="E11" s="15" t="s">
        <v>28</v>
      </c>
      <c r="F11" s="116" t="n">
        <v>0</v>
      </c>
      <c r="G11" s="117" t="s">
        <v>112</v>
      </c>
    </row>
    <row r="12" customFormat="false" ht="19.5" hidden="false" customHeight="true" outlineLevel="0" collapsed="false">
      <c r="A12" s="30"/>
      <c r="B12" s="30"/>
      <c r="C12" s="30"/>
      <c r="D12" s="30"/>
      <c r="E12" s="47" t="s">
        <v>113</v>
      </c>
      <c r="F12" s="48" t="n">
        <f aca="false">SUM(F8:F11)</f>
        <v>0</v>
      </c>
      <c r="G12" s="30"/>
    </row>
    <row r="14" customFormat="false" ht="21.75" hidden="false" customHeight="true" outlineLevel="0" collapsed="false">
      <c r="A14" s="77" t="s">
        <v>114</v>
      </c>
      <c r="B14" s="77"/>
      <c r="C14" s="77"/>
      <c r="D14" s="77"/>
      <c r="E14" s="77"/>
      <c r="F14" s="77"/>
      <c r="G14" s="77"/>
    </row>
    <row r="15" customFormat="false" ht="21.75" hidden="false" customHeight="true" outlineLevel="0" collapsed="false">
      <c r="A15" s="85" t="s">
        <v>115</v>
      </c>
      <c r="B15" s="85"/>
      <c r="C15" s="118" t="s">
        <v>116</v>
      </c>
      <c r="D15" s="118"/>
      <c r="E15" s="118"/>
      <c r="F15" s="118"/>
      <c r="G15" s="118"/>
    </row>
    <row r="16" customFormat="false" ht="21.75" hidden="false" customHeight="true" outlineLevel="0" collapsed="false">
      <c r="A16" s="81" t="s">
        <v>117</v>
      </c>
      <c r="B16" s="81"/>
      <c r="C16" s="119" t="s">
        <v>118</v>
      </c>
      <c r="D16" s="119"/>
      <c r="E16" s="119"/>
      <c r="F16" s="119"/>
      <c r="G16" s="119"/>
    </row>
    <row r="17" customFormat="false" ht="21.75" hidden="false" customHeight="true" outlineLevel="0" collapsed="false">
      <c r="A17" s="90" t="s">
        <v>119</v>
      </c>
      <c r="B17" s="90"/>
      <c r="C17" s="120" t="s">
        <v>120</v>
      </c>
      <c r="D17" s="120"/>
      <c r="E17" s="120"/>
      <c r="F17" s="120"/>
      <c r="G17" s="120"/>
    </row>
    <row r="18" customFormat="false" ht="21.75" hidden="false" customHeight="true" outlineLevel="0" collapsed="false">
      <c r="A18" s="87" t="s">
        <v>121</v>
      </c>
      <c r="B18" s="87"/>
      <c r="C18" s="121" t="s">
        <v>122</v>
      </c>
      <c r="D18" s="121"/>
      <c r="E18" s="121"/>
      <c r="F18" s="121"/>
      <c r="G18" s="121"/>
    </row>
    <row r="19" customFormat="false" ht="21.75" hidden="false" customHeight="true" outlineLevel="0" collapsed="false">
      <c r="A19" s="83" t="s">
        <v>123</v>
      </c>
      <c r="B19" s="83"/>
      <c r="C19" s="122" t="s">
        <v>124</v>
      </c>
      <c r="D19" s="122"/>
      <c r="E19" s="122"/>
      <c r="F19" s="122"/>
      <c r="G19" s="122"/>
    </row>
  </sheetData>
  <mergeCells count="14">
    <mergeCell ref="A2:G2"/>
    <mergeCell ref="A4:E4"/>
    <mergeCell ref="A6:G6"/>
    <mergeCell ref="A14:G14"/>
    <mergeCell ref="A15:B15"/>
    <mergeCell ref="C15:G15"/>
    <mergeCell ref="A16:B16"/>
    <mergeCell ref="C16:G16"/>
    <mergeCell ref="A17:B17"/>
    <mergeCell ref="C17:G17"/>
    <mergeCell ref="A18:B18"/>
    <mergeCell ref="C18:G18"/>
    <mergeCell ref="A19:B19"/>
    <mergeCell ref="C19:G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360C"/>
    <pageSetUpPr fitToPage="false"/>
  </sheetPr>
  <dimension ref="A1:F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4" min="2" style="1" width="16"/>
    <col collapsed="false" customWidth="true" hidden="false" outlineLevel="0" max="5" min="5" style="1" width="14"/>
    <col collapsed="false" customWidth="true" hidden="false" outlineLevel="0" max="6" min="6" style="1" width="18"/>
    <col collapsed="false" customWidth="true" hidden="false" outlineLevel="0" max="7" min="7" style="1" width="4"/>
  </cols>
  <sheetData>
    <row r="1" customFormat="false" ht="7.5" hidden="false" customHeight="true" outlineLevel="0" collapsed="false"/>
    <row r="2" customFormat="false" ht="30" hidden="false" customHeight="true" outlineLevel="0" collapsed="false">
      <c r="A2" s="123" t="s">
        <v>125</v>
      </c>
      <c r="B2" s="123"/>
      <c r="C2" s="123"/>
      <c r="D2" s="123"/>
      <c r="E2" s="123"/>
      <c r="F2" s="123"/>
    </row>
    <row r="3" customFormat="false" ht="7.5" hidden="false" customHeight="true" outlineLevel="0" collapsed="false"/>
    <row r="4" customFormat="false" ht="21.75" hidden="false" customHeight="true" outlineLevel="0" collapsed="false">
      <c r="A4" s="124" t="s">
        <v>126</v>
      </c>
      <c r="B4" s="124" t="s">
        <v>127</v>
      </c>
      <c r="C4" s="124" t="s">
        <v>128</v>
      </c>
      <c r="D4" s="124" t="s">
        <v>129</v>
      </c>
      <c r="E4" s="124" t="s">
        <v>130</v>
      </c>
      <c r="F4" s="124" t="s">
        <v>131</v>
      </c>
    </row>
    <row r="5" customFormat="false" ht="15.75" hidden="false" customHeight="true" outlineLevel="0" collapsed="false">
      <c r="A5" s="67" t="s">
        <v>132</v>
      </c>
      <c r="B5" s="68" t="n">
        <v>0</v>
      </c>
      <c r="C5" s="68" t="n">
        <v>0</v>
      </c>
      <c r="D5" s="68" t="n">
        <v>0</v>
      </c>
      <c r="E5" s="125" t="n">
        <v>0</v>
      </c>
      <c r="F5" s="126" t="n">
        <f aca="false">D5</f>
        <v>0</v>
      </c>
    </row>
    <row r="6" customFormat="false" ht="15.75" hidden="false" customHeight="true" outlineLevel="0" collapsed="false">
      <c r="A6" s="27" t="s">
        <v>133</v>
      </c>
      <c r="B6" s="70" t="n">
        <v>0</v>
      </c>
      <c r="C6" s="70" t="n">
        <v>0</v>
      </c>
      <c r="D6" s="70" t="n">
        <v>0</v>
      </c>
      <c r="E6" s="127" t="n">
        <v>0</v>
      </c>
      <c r="F6" s="128" t="n">
        <f aca="false">F5+D6</f>
        <v>0</v>
      </c>
    </row>
    <row r="7" customFormat="false" ht="15.75" hidden="false" customHeight="true" outlineLevel="0" collapsed="false">
      <c r="A7" s="67" t="s">
        <v>134</v>
      </c>
      <c r="B7" s="68" t="n">
        <v>0</v>
      </c>
      <c r="C7" s="68" t="n">
        <v>0</v>
      </c>
      <c r="D7" s="68" t="n">
        <v>0</v>
      </c>
      <c r="E7" s="125" t="n">
        <v>0</v>
      </c>
      <c r="F7" s="126" t="n">
        <f aca="false">F6+D7</f>
        <v>0</v>
      </c>
    </row>
    <row r="8" customFormat="false" ht="15.75" hidden="false" customHeight="true" outlineLevel="0" collapsed="false">
      <c r="A8" s="27" t="s">
        <v>135</v>
      </c>
      <c r="B8" s="70" t="n">
        <v>0</v>
      </c>
      <c r="C8" s="70" t="n">
        <v>0</v>
      </c>
      <c r="D8" s="70" t="n">
        <v>0</v>
      </c>
      <c r="E8" s="127" t="n">
        <v>0</v>
      </c>
      <c r="F8" s="128" t="n">
        <f aca="false">F7+D8</f>
        <v>0</v>
      </c>
    </row>
    <row r="9" customFormat="false" ht="15.75" hidden="false" customHeight="true" outlineLevel="0" collapsed="false">
      <c r="A9" s="87" t="s">
        <v>136</v>
      </c>
      <c r="B9" s="129" t="n">
        <v>0</v>
      </c>
      <c r="C9" s="129" t="n">
        <v>0</v>
      </c>
      <c r="D9" s="129" t="n">
        <v>0</v>
      </c>
      <c r="E9" s="130" t="n">
        <v>0</v>
      </c>
      <c r="F9" s="131" t="n">
        <f aca="false">F8+D9</f>
        <v>0</v>
      </c>
    </row>
    <row r="10" customFormat="false" ht="15.75" hidden="false" customHeight="true" outlineLevel="0" collapsed="false">
      <c r="A10" s="27" t="s">
        <v>137</v>
      </c>
      <c r="B10" s="70" t="n">
        <v>0</v>
      </c>
      <c r="C10" s="70" t="n">
        <v>0</v>
      </c>
      <c r="D10" s="70" t="n">
        <v>0</v>
      </c>
      <c r="E10" s="127" t="n">
        <v>0</v>
      </c>
      <c r="F10" s="128" t="n">
        <f aca="false">F9+D10</f>
        <v>0</v>
      </c>
    </row>
    <row r="11" customFormat="false" ht="15.75" hidden="false" customHeight="true" outlineLevel="0" collapsed="false">
      <c r="A11" s="67" t="s">
        <v>138</v>
      </c>
      <c r="B11" s="68" t="n">
        <v>0</v>
      </c>
      <c r="C11" s="68" t="n">
        <v>0</v>
      </c>
      <c r="D11" s="68" t="n">
        <v>0</v>
      </c>
      <c r="E11" s="125" t="n">
        <v>0</v>
      </c>
      <c r="F11" s="126" t="n">
        <f aca="false">F10+D11</f>
        <v>0</v>
      </c>
    </row>
    <row r="12" customFormat="false" ht="15.75" hidden="false" customHeight="true" outlineLevel="0" collapsed="false">
      <c r="A12" s="27" t="s">
        <v>139</v>
      </c>
      <c r="B12" s="70" t="n">
        <v>0</v>
      </c>
      <c r="C12" s="70" t="n">
        <v>0</v>
      </c>
      <c r="D12" s="70" t="n">
        <v>0</v>
      </c>
      <c r="E12" s="127" t="n">
        <v>0</v>
      </c>
      <c r="F12" s="128" t="n">
        <f aca="false">F11+D12</f>
        <v>0</v>
      </c>
    </row>
    <row r="13" customFormat="false" ht="15.75" hidden="false" customHeight="true" outlineLevel="0" collapsed="false">
      <c r="A13" s="67" t="s">
        <v>140</v>
      </c>
      <c r="B13" s="68" t="n">
        <v>0</v>
      </c>
      <c r="C13" s="68" t="n">
        <v>0</v>
      </c>
      <c r="D13" s="68" t="n">
        <v>0</v>
      </c>
      <c r="E13" s="125" t="n">
        <v>0</v>
      </c>
      <c r="F13" s="126" t="n">
        <f aca="false">F12+D13</f>
        <v>0</v>
      </c>
    </row>
    <row r="14" customFormat="false" ht="15.75" hidden="false" customHeight="true" outlineLevel="0" collapsed="false">
      <c r="A14" s="27" t="s">
        <v>141</v>
      </c>
      <c r="B14" s="70" t="n">
        <v>0</v>
      </c>
      <c r="C14" s="70" t="n">
        <v>0</v>
      </c>
      <c r="D14" s="70" t="n">
        <v>0</v>
      </c>
      <c r="E14" s="127" t="n">
        <v>0</v>
      </c>
      <c r="F14" s="128" t="n">
        <f aca="false">F13+D14</f>
        <v>0</v>
      </c>
    </row>
    <row r="15" customFormat="false" ht="15.75" hidden="false" customHeight="true" outlineLevel="0" collapsed="false">
      <c r="A15" s="67" t="s">
        <v>142</v>
      </c>
      <c r="B15" s="68" t="n">
        <v>0</v>
      </c>
      <c r="C15" s="68" t="n">
        <v>0</v>
      </c>
      <c r="D15" s="68" t="n">
        <v>0</v>
      </c>
      <c r="E15" s="125" t="n">
        <v>0</v>
      </c>
      <c r="F15" s="126" t="n">
        <f aca="false">F14+D15</f>
        <v>0</v>
      </c>
    </row>
    <row r="16" customFormat="false" ht="15.75" hidden="false" customHeight="true" outlineLevel="0" collapsed="false">
      <c r="A16" s="27" t="s">
        <v>143</v>
      </c>
      <c r="B16" s="70" t="n">
        <v>0</v>
      </c>
      <c r="C16" s="70" t="n">
        <v>0</v>
      </c>
      <c r="D16" s="70" t="n">
        <v>0</v>
      </c>
      <c r="E16" s="127" t="n">
        <v>0</v>
      </c>
      <c r="F16" s="128" t="n">
        <f aca="false">F15+D16</f>
        <v>0</v>
      </c>
    </row>
    <row r="17" customFormat="false" ht="19.5" hidden="false" customHeight="true" outlineLevel="0" collapsed="false">
      <c r="A17" s="132" t="s">
        <v>144</v>
      </c>
      <c r="B17" s="133" t="n">
        <f aca="false">SUM(B5:B16)</f>
        <v>0</v>
      </c>
      <c r="C17" s="133" t="n">
        <f aca="false">SUM(C5:C16)</f>
        <v>0</v>
      </c>
      <c r="D17" s="133" t="n">
        <f aca="false">SUM(D5:D16)</f>
        <v>0</v>
      </c>
      <c r="E17" s="134" t="n">
        <f aca="false">IF(B17&gt;0,D17/B17,0)</f>
        <v>0</v>
      </c>
      <c r="F17" s="133" t="n">
        <f aca="false">F16</f>
        <v>0</v>
      </c>
    </row>
    <row r="19" customFormat="false" ht="21.75" hidden="false" customHeight="true" outlineLevel="0" collapsed="false">
      <c r="A19" s="77" t="s">
        <v>145</v>
      </c>
      <c r="B19" s="77"/>
      <c r="C19" s="77"/>
      <c r="D19" s="77"/>
      <c r="E19" s="77"/>
      <c r="F19" s="77"/>
    </row>
    <row r="20" customFormat="false" ht="18" hidden="false" customHeight="true" outlineLevel="0" collapsed="false">
      <c r="A20" s="135" t="s">
        <v>47</v>
      </c>
      <c r="B20" s="135" t="s">
        <v>146</v>
      </c>
      <c r="C20" s="135" t="s">
        <v>147</v>
      </c>
      <c r="D20" s="135" t="s">
        <v>148</v>
      </c>
      <c r="E20" s="135" t="s">
        <v>149</v>
      </c>
      <c r="F20" s="135" t="s">
        <v>150</v>
      </c>
    </row>
    <row r="21" customFormat="false" ht="15.75" hidden="false" customHeight="true" outlineLevel="0" collapsed="false">
      <c r="A21" s="67" t="s">
        <v>55</v>
      </c>
      <c r="B21" s="68" t="n">
        <v>120000</v>
      </c>
      <c r="C21" s="68" t="n">
        <v>0</v>
      </c>
      <c r="D21" s="68" t="n">
        <v>0</v>
      </c>
      <c r="E21" s="68" t="n">
        <v>0</v>
      </c>
      <c r="F21" s="53" t="n">
        <f aca="false">C21+D21+E21</f>
        <v>0</v>
      </c>
    </row>
    <row r="22" customFormat="false" ht="15.75" hidden="false" customHeight="true" outlineLevel="0" collapsed="false">
      <c r="A22" s="27" t="s">
        <v>56</v>
      </c>
      <c r="B22" s="70" t="n">
        <v>60000</v>
      </c>
      <c r="C22" s="70" t="n">
        <v>0</v>
      </c>
      <c r="D22" s="70" t="n">
        <v>0</v>
      </c>
      <c r="E22" s="70" t="n">
        <v>0</v>
      </c>
      <c r="F22" s="59" t="n">
        <f aca="false">C22+D22+E22</f>
        <v>0</v>
      </c>
    </row>
    <row r="23" customFormat="false" ht="15.75" hidden="false" customHeight="true" outlineLevel="0" collapsed="false">
      <c r="A23" s="67" t="s">
        <v>57</v>
      </c>
      <c r="B23" s="68" t="n">
        <v>96000</v>
      </c>
      <c r="C23" s="68" t="n">
        <v>0</v>
      </c>
      <c r="D23" s="68" t="n">
        <v>0</v>
      </c>
      <c r="E23" s="68" t="n">
        <v>0</v>
      </c>
      <c r="F23" s="53" t="n">
        <f aca="false">C23+D23+E23</f>
        <v>0</v>
      </c>
    </row>
    <row r="24" customFormat="false" ht="15.75" hidden="false" customHeight="true" outlineLevel="0" collapsed="false">
      <c r="A24" s="27" t="s">
        <v>58</v>
      </c>
      <c r="B24" s="70" t="n">
        <v>60000</v>
      </c>
      <c r="C24" s="70" t="n">
        <v>0</v>
      </c>
      <c r="D24" s="70" t="n">
        <v>0</v>
      </c>
      <c r="E24" s="70" t="n">
        <v>0</v>
      </c>
      <c r="F24" s="59" t="n">
        <f aca="false">C24+D24+E24</f>
        <v>0</v>
      </c>
    </row>
    <row r="25" customFormat="false" ht="15.75" hidden="false" customHeight="true" outlineLevel="0" collapsed="false">
      <c r="A25" s="67" t="s">
        <v>59</v>
      </c>
      <c r="B25" s="68" t="n">
        <v>96000</v>
      </c>
      <c r="C25" s="68" t="n">
        <v>0</v>
      </c>
      <c r="D25" s="68" t="n">
        <v>0</v>
      </c>
      <c r="E25" s="68" t="n">
        <v>0</v>
      </c>
      <c r="F25" s="53" t="n">
        <f aca="false">C25+D25+E25</f>
        <v>0</v>
      </c>
    </row>
    <row r="26" customFormat="false" ht="15.75" hidden="false" customHeight="true" outlineLevel="0" collapsed="false">
      <c r="A26" s="27" t="s">
        <v>60</v>
      </c>
      <c r="B26" s="70" t="n">
        <v>60000</v>
      </c>
      <c r="C26" s="70" t="n">
        <v>0</v>
      </c>
      <c r="D26" s="70" t="n">
        <v>0</v>
      </c>
      <c r="E26" s="70" t="n">
        <v>0</v>
      </c>
      <c r="F26" s="59" t="n">
        <f aca="false">C26+D26+E26</f>
        <v>0</v>
      </c>
    </row>
    <row r="27" customFormat="false" ht="15.75" hidden="false" customHeight="true" outlineLevel="0" collapsed="false">
      <c r="A27" s="67" t="s">
        <v>61</v>
      </c>
      <c r="B27" s="68" t="n">
        <v>36000</v>
      </c>
      <c r="C27" s="68" t="n">
        <v>0</v>
      </c>
      <c r="D27" s="68" t="n">
        <v>0</v>
      </c>
      <c r="E27" s="68" t="n">
        <v>0</v>
      </c>
      <c r="F27" s="53" t="n">
        <f aca="false">C27+D27+E27</f>
        <v>0</v>
      </c>
    </row>
    <row r="28" customFormat="false" ht="15.75" hidden="false" customHeight="true" outlineLevel="0" collapsed="false">
      <c r="A28" s="27" t="s">
        <v>62</v>
      </c>
      <c r="B28" s="70" t="n">
        <v>24000</v>
      </c>
      <c r="C28" s="70" t="n">
        <v>0</v>
      </c>
      <c r="D28" s="70" t="n">
        <v>0</v>
      </c>
      <c r="E28" s="70" t="n">
        <v>0</v>
      </c>
      <c r="F28" s="59" t="n">
        <f aca="false">C28+D28+E28</f>
        <v>0</v>
      </c>
    </row>
    <row r="29" customFormat="false" ht="15.75" hidden="false" customHeight="true" outlineLevel="0" collapsed="false">
      <c r="A29" s="67" t="s">
        <v>63</v>
      </c>
      <c r="B29" s="68" t="n">
        <v>60000</v>
      </c>
      <c r="C29" s="68" t="n">
        <v>0</v>
      </c>
      <c r="D29" s="68" t="n">
        <v>0</v>
      </c>
      <c r="E29" s="68" t="n">
        <v>0</v>
      </c>
      <c r="F29" s="53" t="n">
        <f aca="false">C29+D29+E29</f>
        <v>0</v>
      </c>
    </row>
    <row r="30" customFormat="false" ht="15.75" hidden="false" customHeight="true" outlineLevel="0" collapsed="false">
      <c r="A30" s="27" t="s">
        <v>64</v>
      </c>
      <c r="B30" s="70" t="n">
        <v>180000</v>
      </c>
      <c r="C30" s="70" t="n">
        <v>0</v>
      </c>
      <c r="D30" s="70" t="n">
        <v>0</v>
      </c>
      <c r="E30" s="70" t="n">
        <v>0</v>
      </c>
      <c r="F30" s="59" t="n">
        <f aca="false">C30+D30+E30</f>
        <v>0</v>
      </c>
    </row>
    <row r="31" customFormat="false" ht="15.75" hidden="false" customHeight="true" outlineLevel="0" collapsed="false">
      <c r="A31" s="67" t="s">
        <v>65</v>
      </c>
      <c r="B31" s="68" t="n">
        <v>0</v>
      </c>
      <c r="C31" s="68" t="n">
        <v>0</v>
      </c>
      <c r="D31" s="68" t="n">
        <v>0</v>
      </c>
      <c r="E31" s="68" t="n">
        <v>0</v>
      </c>
      <c r="F31" s="53" t="n">
        <f aca="false">C31+D31+E31</f>
        <v>0</v>
      </c>
    </row>
    <row r="32" customFormat="false" ht="15.75" hidden="false" customHeight="true" outlineLevel="0" collapsed="false">
      <c r="A32" s="27" t="s">
        <v>66</v>
      </c>
      <c r="B32" s="70" t="n">
        <v>36000</v>
      </c>
      <c r="C32" s="70" t="n">
        <v>0</v>
      </c>
      <c r="D32" s="70" t="n">
        <v>0</v>
      </c>
      <c r="E32" s="70" t="n">
        <v>0</v>
      </c>
      <c r="F32" s="59" t="n">
        <f aca="false">C32+D32+E32</f>
        <v>0</v>
      </c>
    </row>
    <row r="33" customFormat="false" ht="15.75" hidden="false" customHeight="true" outlineLevel="0" collapsed="false">
      <c r="A33" s="67" t="s">
        <v>67</v>
      </c>
      <c r="B33" s="68" t="n">
        <v>36000</v>
      </c>
      <c r="C33" s="68" t="n">
        <v>0</v>
      </c>
      <c r="D33" s="68" t="n">
        <v>0</v>
      </c>
      <c r="E33" s="68" t="n">
        <v>0</v>
      </c>
      <c r="F33" s="53" t="n">
        <f aca="false">C33+D33+E33</f>
        <v>0</v>
      </c>
    </row>
    <row r="34" customFormat="false" ht="15.75" hidden="false" customHeight="true" outlineLevel="0" collapsed="false">
      <c r="A34" s="27" t="s">
        <v>68</v>
      </c>
      <c r="B34" s="70" t="n">
        <v>36000</v>
      </c>
      <c r="C34" s="70" t="n">
        <v>0</v>
      </c>
      <c r="D34" s="70" t="n">
        <v>0</v>
      </c>
      <c r="E34" s="70" t="n">
        <v>0</v>
      </c>
      <c r="F34" s="59" t="n">
        <f aca="false">C34+D34+E34</f>
        <v>0</v>
      </c>
    </row>
    <row r="35" customFormat="false" ht="15.75" hidden="false" customHeight="true" outlineLevel="0" collapsed="false">
      <c r="A35" s="67" t="s">
        <v>69</v>
      </c>
      <c r="B35" s="68" t="n">
        <v>24000</v>
      </c>
      <c r="C35" s="68" t="n">
        <v>0</v>
      </c>
      <c r="D35" s="68" t="n">
        <v>0</v>
      </c>
      <c r="E35" s="68" t="n">
        <v>0</v>
      </c>
      <c r="F35" s="53" t="n">
        <f aca="false">C35+D35+E35</f>
        <v>0</v>
      </c>
    </row>
    <row r="36" customFormat="false" ht="15.75" hidden="false" customHeight="true" outlineLevel="0" collapsed="false">
      <c r="A36" s="27" t="s">
        <v>70</v>
      </c>
      <c r="B36" s="70" t="n">
        <v>0</v>
      </c>
      <c r="C36" s="70" t="n">
        <v>0</v>
      </c>
      <c r="D36" s="70" t="n">
        <v>0</v>
      </c>
      <c r="E36" s="70" t="n">
        <v>0</v>
      </c>
      <c r="F36" s="59" t="n">
        <f aca="false">C36+D36+E36</f>
        <v>0</v>
      </c>
    </row>
  </sheetData>
  <mergeCells count="2">
    <mergeCell ref="A2:F2"/>
    <mergeCell ref="A19:F19"/>
  </mergeCells>
  <conditionalFormatting sqref="D5:D16">
    <cfRule type="colorScale" priority="2">
      <colorScale>
        <cfvo type="min" val="0"/>
        <cfvo type="percentile" val="50"/>
        <cfvo type="max" val="0"/>
        <color rgb="FFFFE7E7"/>
        <color rgb="FFFFF2CC"/>
        <color rgb="FFE2EFDA"/>
      </colorScale>
    </cfRule>
  </conditionalFormatting>
  <conditionalFormatting sqref="E5:E16">
    <cfRule type="colorScale" priority="3">
      <colorScale>
        <cfvo type="num" val="0"/>
        <cfvo type="num" val="0.2"/>
        <cfvo type="num" val="0.5"/>
        <color rgb="FFFFE7E7"/>
        <color rgb="FFFFF2CC"/>
        <color rgb="FFE2EFDA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95959"/>
    <pageSetUpPr fitToPage="false"/>
  </sheetPr>
  <dimension ref="A1:G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3" min="2" style="1" width="24"/>
    <col collapsed="false" customWidth="true" hidden="false" outlineLevel="0" max="5" min="4" style="1" width="4"/>
    <col collapsed="false" customWidth="true" hidden="false" outlineLevel="0" max="7" min="6" style="1" width="22"/>
  </cols>
  <sheetData>
    <row r="1" customFormat="false" ht="7.5" hidden="false" customHeight="true" outlineLevel="0" collapsed="false"/>
    <row r="2" customFormat="false" ht="30" hidden="false" customHeight="true" outlineLevel="0" collapsed="false">
      <c r="A2" s="136" t="s">
        <v>151</v>
      </c>
      <c r="B2" s="136"/>
      <c r="C2" s="136"/>
      <c r="D2" s="136"/>
      <c r="E2" s="136"/>
      <c r="F2" s="136"/>
      <c r="G2" s="136"/>
    </row>
    <row r="3" customFormat="false" ht="7.5" hidden="false" customHeight="true" outlineLevel="0" collapsed="false"/>
    <row r="4" customFormat="false" ht="15" hidden="false" customHeight="true" outlineLevel="0" collapsed="false">
      <c r="A4" s="77" t="s">
        <v>152</v>
      </c>
      <c r="B4" s="77"/>
      <c r="C4" s="77"/>
    </row>
    <row r="5" customFormat="false" ht="15" hidden="false" customHeight="true" outlineLevel="0" collapsed="false">
      <c r="A5" s="66" t="s">
        <v>46</v>
      </c>
      <c r="B5" s="66" t="s">
        <v>47</v>
      </c>
      <c r="C5" s="66" t="s">
        <v>153</v>
      </c>
    </row>
    <row r="6" customFormat="false" ht="15.75" hidden="false" customHeight="true" outlineLevel="0" collapsed="false">
      <c r="A6" s="57" t="n">
        <v>1</v>
      </c>
      <c r="B6" s="67" t="s">
        <v>55</v>
      </c>
      <c r="C6" s="68" t="n">
        <v>10000</v>
      </c>
    </row>
    <row r="7" customFormat="false" ht="15.75" hidden="false" customHeight="true" outlineLevel="0" collapsed="false">
      <c r="A7" s="63" t="n">
        <v>2</v>
      </c>
      <c r="B7" s="27" t="s">
        <v>56</v>
      </c>
      <c r="C7" s="70" t="n">
        <v>5000</v>
      </c>
    </row>
    <row r="8" customFormat="false" ht="15.75" hidden="false" customHeight="true" outlineLevel="0" collapsed="false">
      <c r="A8" s="57" t="n">
        <v>3</v>
      </c>
      <c r="B8" s="67" t="s">
        <v>57</v>
      </c>
      <c r="C8" s="68" t="n">
        <v>8000</v>
      </c>
    </row>
    <row r="9" customFormat="false" ht="15.75" hidden="false" customHeight="true" outlineLevel="0" collapsed="false">
      <c r="A9" s="63" t="n">
        <v>4</v>
      </c>
      <c r="B9" s="27" t="s">
        <v>58</v>
      </c>
      <c r="C9" s="70" t="n">
        <v>5000</v>
      </c>
    </row>
    <row r="10" customFormat="false" ht="15.75" hidden="false" customHeight="true" outlineLevel="0" collapsed="false">
      <c r="A10" s="57" t="n">
        <v>5</v>
      </c>
      <c r="B10" s="67" t="s">
        <v>59</v>
      </c>
      <c r="C10" s="68" t="n">
        <v>8000</v>
      </c>
    </row>
    <row r="11" customFormat="false" ht="15.75" hidden="false" customHeight="true" outlineLevel="0" collapsed="false">
      <c r="A11" s="63" t="n">
        <v>6</v>
      </c>
      <c r="B11" s="27" t="s">
        <v>60</v>
      </c>
      <c r="C11" s="70" t="n">
        <v>5000</v>
      </c>
    </row>
    <row r="12" customFormat="false" ht="15.75" hidden="false" customHeight="true" outlineLevel="0" collapsed="false">
      <c r="A12" s="57" t="n">
        <v>7</v>
      </c>
      <c r="B12" s="67" t="s">
        <v>61</v>
      </c>
      <c r="C12" s="68" t="n">
        <v>3000</v>
      </c>
    </row>
    <row r="13" customFormat="false" ht="15.75" hidden="false" customHeight="true" outlineLevel="0" collapsed="false">
      <c r="A13" s="63" t="n">
        <v>8</v>
      </c>
      <c r="B13" s="27" t="s">
        <v>62</v>
      </c>
      <c r="C13" s="70" t="n">
        <v>2000</v>
      </c>
    </row>
    <row r="14" customFormat="false" ht="15.75" hidden="false" customHeight="true" outlineLevel="0" collapsed="false">
      <c r="A14" s="57" t="n">
        <v>9</v>
      </c>
      <c r="B14" s="67" t="s">
        <v>63</v>
      </c>
      <c r="C14" s="68" t="n">
        <v>5000</v>
      </c>
    </row>
    <row r="15" customFormat="false" ht="15.75" hidden="false" customHeight="true" outlineLevel="0" collapsed="false">
      <c r="A15" s="63" t="n">
        <v>10</v>
      </c>
      <c r="B15" s="27" t="s">
        <v>64</v>
      </c>
      <c r="C15" s="70" t="n">
        <v>15000</v>
      </c>
    </row>
    <row r="16" customFormat="false" ht="15.75" hidden="false" customHeight="true" outlineLevel="0" collapsed="false">
      <c r="A16" s="57" t="n">
        <v>11</v>
      </c>
      <c r="B16" s="67" t="s">
        <v>65</v>
      </c>
      <c r="C16" s="68" t="n">
        <v>0</v>
      </c>
    </row>
    <row r="17" customFormat="false" ht="15.75" hidden="false" customHeight="true" outlineLevel="0" collapsed="false">
      <c r="A17" s="63" t="n">
        <v>12</v>
      </c>
      <c r="B17" s="27" t="s">
        <v>66</v>
      </c>
      <c r="C17" s="70" t="n">
        <v>3000</v>
      </c>
    </row>
    <row r="18" customFormat="false" ht="15.75" hidden="false" customHeight="true" outlineLevel="0" collapsed="false">
      <c r="A18" s="57" t="n">
        <v>13</v>
      </c>
      <c r="B18" s="67" t="s">
        <v>67</v>
      </c>
      <c r="C18" s="68" t="n">
        <v>3000</v>
      </c>
    </row>
    <row r="19" customFormat="false" ht="15.75" hidden="false" customHeight="true" outlineLevel="0" collapsed="false">
      <c r="A19" s="63" t="n">
        <v>14</v>
      </c>
      <c r="B19" s="27" t="s">
        <v>68</v>
      </c>
      <c r="C19" s="70" t="n">
        <v>3000</v>
      </c>
    </row>
    <row r="20" customFormat="false" ht="15.75" hidden="false" customHeight="true" outlineLevel="0" collapsed="false">
      <c r="A20" s="57" t="n">
        <v>15</v>
      </c>
      <c r="B20" s="67" t="s">
        <v>69</v>
      </c>
      <c r="C20" s="68" t="n">
        <v>2000</v>
      </c>
    </row>
    <row r="21" customFormat="false" ht="15.75" hidden="false" customHeight="true" outlineLevel="0" collapsed="false">
      <c r="A21" s="63" t="n">
        <v>16</v>
      </c>
      <c r="B21" s="27" t="s">
        <v>70</v>
      </c>
      <c r="C21" s="70" t="n">
        <v>0</v>
      </c>
    </row>
    <row r="24" customFormat="false" ht="15" hidden="false" customHeight="true" outlineLevel="0" collapsed="false">
      <c r="A24" s="76" t="s">
        <v>154</v>
      </c>
      <c r="B24" s="76"/>
      <c r="C24" s="76"/>
    </row>
    <row r="25" customFormat="false" ht="15" hidden="false" customHeight="true" outlineLevel="0" collapsed="false">
      <c r="A25" s="78" t="s">
        <v>46</v>
      </c>
      <c r="B25" s="78" t="s">
        <v>155</v>
      </c>
      <c r="C25" s="78"/>
    </row>
    <row r="26" customFormat="false" ht="15.75" hidden="false" customHeight="true" outlineLevel="0" collapsed="false">
      <c r="A26" s="57" t="n">
        <v>1</v>
      </c>
      <c r="B26" s="67" t="s">
        <v>78</v>
      </c>
      <c r="C26" s="67"/>
    </row>
    <row r="27" customFormat="false" ht="15.75" hidden="false" customHeight="true" outlineLevel="0" collapsed="false">
      <c r="A27" s="63" t="n">
        <v>2</v>
      </c>
      <c r="B27" s="27" t="s">
        <v>79</v>
      </c>
      <c r="C27" s="27"/>
    </row>
    <row r="28" customFormat="false" ht="15.75" hidden="false" customHeight="true" outlineLevel="0" collapsed="false">
      <c r="A28" s="57" t="n">
        <v>3</v>
      </c>
      <c r="B28" s="67" t="s">
        <v>66</v>
      </c>
      <c r="C28" s="67"/>
    </row>
    <row r="29" customFormat="false" ht="15.75" hidden="false" customHeight="true" outlineLevel="0" collapsed="false">
      <c r="A29" s="63" t="n">
        <v>4</v>
      </c>
      <c r="B29" s="27" t="s">
        <v>80</v>
      </c>
      <c r="C29" s="27"/>
    </row>
    <row r="32" customFormat="false" ht="15" hidden="false" customHeight="true" outlineLevel="0" collapsed="false">
      <c r="A32" s="77" t="s">
        <v>156</v>
      </c>
      <c r="B32" s="77"/>
      <c r="C32" s="77"/>
    </row>
    <row r="33" customFormat="false" ht="18" hidden="false" customHeight="true" outlineLevel="0" collapsed="false">
      <c r="A33" s="137" t="s">
        <v>157</v>
      </c>
      <c r="B33" s="137"/>
      <c r="C33" s="137"/>
    </row>
    <row r="34" customFormat="false" ht="18" hidden="false" customHeight="true" outlineLevel="0" collapsed="false">
      <c r="A34" s="138" t="s">
        <v>158</v>
      </c>
      <c r="B34" s="138"/>
      <c r="C34" s="138"/>
    </row>
    <row r="35" customFormat="false" ht="18" hidden="false" customHeight="true" outlineLevel="0" collapsed="false">
      <c r="A35" s="137" t="s">
        <v>159</v>
      </c>
      <c r="B35" s="137"/>
      <c r="C35" s="137"/>
    </row>
    <row r="36" customFormat="false" ht="18" hidden="false" customHeight="true" outlineLevel="0" collapsed="false">
      <c r="A36" s="138" t="s">
        <v>160</v>
      </c>
      <c r="B36" s="138"/>
      <c r="C36" s="138"/>
    </row>
    <row r="37" customFormat="false" ht="18" hidden="false" customHeight="true" outlineLevel="0" collapsed="false">
      <c r="A37" s="137" t="s">
        <v>161</v>
      </c>
      <c r="B37" s="137"/>
      <c r="C37" s="137"/>
    </row>
    <row r="38" customFormat="false" ht="18" hidden="false" customHeight="true" outlineLevel="0" collapsed="false">
      <c r="A38" s="138" t="s">
        <v>162</v>
      </c>
      <c r="B38" s="138"/>
      <c r="C38" s="138"/>
    </row>
    <row r="39" customFormat="false" ht="18" hidden="false" customHeight="true" outlineLevel="0" collapsed="false">
      <c r="A39" s="137" t="s">
        <v>163</v>
      </c>
      <c r="B39" s="137"/>
      <c r="C39" s="137"/>
    </row>
    <row r="40" customFormat="false" ht="18" hidden="false" customHeight="true" outlineLevel="0" collapsed="false">
      <c r="A40" s="138" t="s">
        <v>164</v>
      </c>
      <c r="B40" s="138"/>
      <c r="C40" s="138"/>
    </row>
  </sheetData>
  <mergeCells count="17">
    <mergeCell ref="A2:G2"/>
    <mergeCell ref="A4:C4"/>
    <mergeCell ref="A24:C24"/>
    <mergeCell ref="B25:C25"/>
    <mergeCell ref="B26:C26"/>
    <mergeCell ref="B27:C27"/>
    <mergeCell ref="B28:C28"/>
    <mergeCell ref="B29:C29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2026-05-26T06:52:55Z</dcterms:created>
  <dc:creator>openpyxl</dc:creator>
  <dc:description/>
  <dc:language>en-US</dc:language>
  <cp:lastModifiedBy/>
  <dcterms:modified xsi:type="dcterms:W3CDTF">2026-05-26T06:53:57Z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